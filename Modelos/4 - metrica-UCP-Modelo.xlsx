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5.xml" ContentType="application/vnd.openxmlformats-officedocument.drawing+xml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6.xml" ContentType="application/vnd.openxmlformats-officedocument.drawing+xml"/>
  <Override PartName="/xl/embeddings/oleObject9.bin" ContentType="application/vnd.openxmlformats-officedocument.oleObject"/>
  <Override PartName="/xl/drawings/drawing7.xml" ContentType="application/vnd.openxmlformats-officedocument.drawing+xml"/>
  <Override PartName="/xl/embeddings/oleObject1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vAlya\DevFlow_ALYA\Modelos\"/>
    </mc:Choice>
  </mc:AlternateContent>
  <xr:revisionPtr revIDLastSave="0" documentId="13_ncr:1_{E442D336-139A-47CA-9AB1-B565FD55556A}" xr6:coauthVersionLast="47" xr6:coauthVersionMax="47" xr10:uidLastSave="{00000000-0000-0000-0000-000000000000}"/>
  <bookViews>
    <workbookView xWindow="-110" yWindow="-110" windowWidth="19420" windowHeight="11500" tabRatio="746" activeTab="4" xr2:uid="{00000000-000D-0000-FFFF-FFFF00000000}"/>
  </bookViews>
  <sheets>
    <sheet name="dependências_ priorizações" sheetId="7" r:id="rId1"/>
    <sheet name="atores" sheetId="1" r:id="rId2"/>
    <sheet name="casos_de_uso" sheetId="2" r:id="rId3"/>
    <sheet name="fatores_tecnicos" sheetId="4" r:id="rId4"/>
    <sheet name="fatores_ambientais" sheetId="5" r:id="rId5"/>
    <sheet name="estimativa_esforço" sheetId="8" r:id="rId6"/>
    <sheet name="estimado_realizado" sheetId="9" r:id="rId7"/>
  </sheets>
  <definedNames>
    <definedName name="_xlnm._FilterDatabase" localSheetId="0" hidden="1">'dependências_ priorizações'!$A$4:$B$5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8" l="1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27" i="2"/>
  <c r="G27" i="2"/>
  <c r="F27" i="2"/>
  <c r="H26" i="2"/>
  <c r="G26" i="2"/>
  <c r="F26" i="2"/>
  <c r="H25" i="2"/>
  <c r="G25" i="2"/>
  <c r="F25" i="2"/>
  <c r="H13" i="2"/>
  <c r="G13" i="2"/>
  <c r="F13" i="2"/>
  <c r="H12" i="2"/>
  <c r="G12" i="2"/>
  <c r="F12" i="2"/>
  <c r="H11" i="2"/>
  <c r="G11" i="2"/>
  <c r="F11" i="2"/>
  <c r="H17" i="2"/>
  <c r="G17" i="2"/>
  <c r="F17" i="2"/>
  <c r="H16" i="2"/>
  <c r="G16" i="2"/>
  <c r="F16" i="2"/>
  <c r="H15" i="2"/>
  <c r="G15" i="2"/>
  <c r="F15" i="2"/>
  <c r="H14" i="2"/>
  <c r="G14" i="2"/>
  <c r="F14" i="2"/>
  <c r="H28" i="2"/>
  <c r="G28" i="2"/>
  <c r="F28" i="2"/>
  <c r="H18" i="2"/>
  <c r="G18" i="2"/>
  <c r="F18" i="2"/>
  <c r="H29" i="2"/>
  <c r="G29" i="2"/>
  <c r="F29" i="2"/>
  <c r="F9" i="2" l="1"/>
  <c r="F7" i="2"/>
  <c r="F8" i="2"/>
  <c r="H10" i="2"/>
  <c r="G10" i="2"/>
  <c r="F10" i="2"/>
  <c r="H30" i="2"/>
  <c r="G30" i="2"/>
  <c r="F30" i="2"/>
  <c r="H9" i="2"/>
  <c r="G9" i="2"/>
  <c r="H8" i="2"/>
  <c r="G8" i="2"/>
  <c r="E17" i="1"/>
  <c r="E18" i="1" s="1"/>
  <c r="F17" i="1"/>
  <c r="F18" i="1" s="1"/>
  <c r="G17" i="1"/>
  <c r="G18" i="1" s="1"/>
  <c r="H7" i="2"/>
  <c r="G7" i="2"/>
  <c r="F6" i="2"/>
  <c r="G6" i="2"/>
  <c r="H6" i="2"/>
  <c r="G5" i="9"/>
  <c r="G6" i="9"/>
  <c r="G7" i="9"/>
  <c r="G8" i="9"/>
  <c r="E9" i="9"/>
  <c r="F9" i="9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6" i="5"/>
  <c r="G7" i="5"/>
  <c r="G8" i="5"/>
  <c r="G9" i="5"/>
  <c r="G10" i="5"/>
  <c r="G11" i="5"/>
  <c r="G12" i="5"/>
  <c r="G13" i="5"/>
  <c r="F9" i="8"/>
  <c r="F10" i="8"/>
  <c r="F11" i="8"/>
  <c r="F12" i="8"/>
  <c r="F13" i="8"/>
  <c r="F14" i="8"/>
  <c r="F15" i="8"/>
  <c r="D17" i="8"/>
  <c r="F19" i="8"/>
  <c r="F20" i="8"/>
  <c r="F20" i="1" l="1"/>
  <c r="H32" i="2"/>
  <c r="H34" i="2" s="1"/>
  <c r="F32" i="2"/>
  <c r="F34" i="2" s="1"/>
  <c r="G9" i="9"/>
  <c r="F16" i="8"/>
  <c r="G19" i="4"/>
  <c r="G20" i="4" s="1"/>
  <c r="E5" i="8" s="1"/>
  <c r="G32" i="2"/>
  <c r="G14" i="5"/>
  <c r="G15" i="5" s="1"/>
  <c r="E6" i="8" s="1"/>
  <c r="G33" i="2" l="1"/>
  <c r="G34" i="2"/>
  <c r="G36" i="2" s="1"/>
  <c r="G39" i="2" s="1"/>
  <c r="E4" i="8" s="1"/>
  <c r="E7" i="8" s="1"/>
  <c r="E9" i="8" s="1"/>
  <c r="G31" i="2"/>
  <c r="F33" i="2"/>
  <c r="H33" i="2"/>
  <c r="D21" i="8"/>
  <c r="E21" i="8"/>
  <c r="E23" i="8"/>
  <c r="D23" i="8"/>
  <c r="D22" i="8" l="1"/>
  <c r="E22" i="8"/>
  <c r="E14" i="8"/>
  <c r="E13" i="8"/>
  <c r="E16" i="8"/>
  <c r="E15" i="8"/>
  <c r="E17" i="8" l="1"/>
  <c r="I16" i="8" l="1"/>
  <c r="I15" i="8"/>
  <c r="I13" i="8"/>
  <c r="I17" i="8" l="1"/>
  <c r="I19" i="8" l="1"/>
  <c r="I20" i="8"/>
</calcChain>
</file>

<file path=xl/sharedStrings.xml><?xml version="1.0" encoding="utf-8"?>
<sst xmlns="http://schemas.openxmlformats.org/spreadsheetml/2006/main" count="126" uniqueCount="100">
  <si>
    <t>Atores</t>
  </si>
  <si>
    <t>Simples</t>
  </si>
  <si>
    <t>Médio</t>
  </si>
  <si>
    <t>FATOR APLICADO</t>
  </si>
  <si>
    <t>Casos de Uso</t>
  </si>
  <si>
    <t>Fatores Técnicos</t>
  </si>
  <si>
    <t>Fatores Ambientais</t>
  </si>
  <si>
    <t>CONCEPÇÃO</t>
  </si>
  <si>
    <t>ELABORAÇÃO</t>
  </si>
  <si>
    <t>CONSTRUÇÃO</t>
  </si>
  <si>
    <t>TRANSIÇÃO</t>
  </si>
  <si>
    <t>FASES</t>
  </si>
  <si>
    <t>HORAS</t>
  </si>
  <si>
    <t>TOTAL</t>
  </si>
  <si>
    <t>TOTAL DE ATORES</t>
  </si>
  <si>
    <t>TOTAL DE CASOS DE USO</t>
  </si>
  <si>
    <t>Complexo</t>
  </si>
  <si>
    <t>% CASOS DE USO POR COMPLEXIDADE</t>
  </si>
  <si>
    <t>FT9    -  Facilidade de manutenção</t>
  </si>
  <si>
    <t>Classificação</t>
  </si>
  <si>
    <t>(de 0 a 5)</t>
  </si>
  <si>
    <t>Peso</t>
  </si>
  <si>
    <t>do Fator</t>
  </si>
  <si>
    <t>FATOR DE COMPLEXIDADE TÉCNICA (TCF)</t>
  </si>
  <si>
    <t>FATOR DE COMPLEXIDADE TÉCNICA (TCF) ***</t>
  </si>
  <si>
    <t>FA6 - Estabilidade dos requisitos</t>
  </si>
  <si>
    <t>FA4 - Capacidade do Analista Líder</t>
  </si>
  <si>
    <t>FATORES AMBIENTAIS (EF) ***</t>
  </si>
  <si>
    <t>Ponderada</t>
  </si>
  <si>
    <t>TOTAL DE CLASSIFICAÇÃO PONDERADA</t>
  </si>
  <si>
    <t>ESFORÇO TOTAL EM HORAS/HOMEM PARA O PROJETO</t>
  </si>
  <si>
    <t>FATORES AMBIENTAIS (EF)</t>
  </si>
  <si>
    <t>ESFORÇO EM HORAS/HOMEM POR FASE DO PROJETO</t>
  </si>
  <si>
    <t>(SOMATÓRIA DOS FATORES APLICADOS)</t>
  </si>
  <si>
    <t>TOTAL DE PESO DE ATORES</t>
  </si>
  <si>
    <t>TOTAL DE PESO DE CASOS DE USO</t>
  </si>
  <si>
    <t>(SOMATÓRIA DOS PESOS DE ATORES E DE CASOS DE USO)</t>
  </si>
  <si>
    <t xml:space="preserve">(1) </t>
  </si>
  <si>
    <t>(2)</t>
  </si>
  <si>
    <t>(3)</t>
  </si>
  <si>
    <t>(1)</t>
  </si>
  <si>
    <t>UCP SEM AJUSTE (UUCP) ***</t>
  </si>
  <si>
    <t>UCP SEM AJUSTE (UUCP)</t>
  </si>
  <si>
    <t>UCP AJUSTADO (UCP) ***</t>
  </si>
  <si>
    <t>FT1    -  Sistema implementado será executado em ambiente distribuído</t>
  </si>
  <si>
    <t>FT2    -  Performance requerida para a aplicação</t>
  </si>
  <si>
    <t>FT3    -  Eficiência da aplicação para o usuário final</t>
  </si>
  <si>
    <t>FT4    -  Complexidade de processamento interno</t>
  </si>
  <si>
    <t>FT5    -  Necessidade de código reutilizável</t>
  </si>
  <si>
    <t>FT6    -  Facilidade de instalação da aplicação</t>
  </si>
  <si>
    <t>FT7    -  Usabilidade (facilidade de utilização) requerida para a aplicação</t>
  </si>
  <si>
    <t>FT8    -  Necessidade de portabilidade da aplicação</t>
  </si>
  <si>
    <t>FT10  -  Necessidade de concorrência entre a aplicação e outros softwares</t>
  </si>
  <si>
    <t>FT11  -  Implementação de aspectos especiais de Segurança</t>
  </si>
  <si>
    <t>FT12  -  Necessidade de acesso direto para outros sistemas</t>
  </si>
  <si>
    <t>FT13  -  Necessidade de treinamento especializado</t>
  </si>
  <si>
    <t>FA2 - Experiência dos desenvolvedores no negócio</t>
  </si>
  <si>
    <t>FA5 - Motivação da equipe de desenvolvedores</t>
  </si>
  <si>
    <t>FA7 - Alocação de desenvolvedores em regime Part-Time</t>
  </si>
  <si>
    <t>FA8 - Complexidade das linguagem de programação utilizadas</t>
  </si>
  <si>
    <t>PERCENTUAL</t>
  </si>
  <si>
    <t>APRESENTAÇÃO DOS VALORES DE ESFORÇO</t>
  </si>
  <si>
    <t>Qtde.</t>
  </si>
  <si>
    <t>Classes</t>
  </si>
  <si>
    <t>TOTAL DE CASOS DE USO POR COMPLEXIDADE</t>
  </si>
  <si>
    <t>NÍVEL</t>
  </si>
  <si>
    <t>SIMPLES</t>
  </si>
  <si>
    <t>ESFORÇO MÉDIO EM HORAS/HOMEM POR CASO DE USO</t>
  </si>
  <si>
    <t>MÉDIO</t>
  </si>
  <si>
    <t>COMPLEXO</t>
  </si>
  <si>
    <t>PROJETO COMPLETO</t>
  </si>
  <si>
    <t>Caso de Uso</t>
  </si>
  <si>
    <t>Qtde. de referências</t>
  </si>
  <si>
    <t>Prioridade</t>
  </si>
  <si>
    <t>Casos de Uso incluídos/extendidos</t>
  </si>
  <si>
    <r>
      <t>ESTIMATIVA UCP (</t>
    </r>
    <r>
      <rPr>
        <b/>
        <i/>
        <sz val="14"/>
        <rFont val="Arial"/>
        <family val="2"/>
      </rPr>
      <t>USE CASE POINT</t>
    </r>
    <r>
      <rPr>
        <b/>
        <sz val="14"/>
        <rFont val="Arial"/>
        <family val="2"/>
      </rPr>
      <t>)</t>
    </r>
  </si>
  <si>
    <t>INFORMAÇÃO DOS ATORES ENVOLVIDOS</t>
  </si>
  <si>
    <t>INFORMAÇÃO DOS CASOS DE USO IDENTIFICADOS</t>
  </si>
  <si>
    <t>CONSIDERAÇÕES TÉCNICAS PARA AJUSTE DO CÁLCULO</t>
  </si>
  <si>
    <t>CONSIDERAÇÕES AMBIENTAIS PARA AJUSTE DO CÁLCULO</t>
  </si>
  <si>
    <t>INFORMAÇÃO DAS DEPENDÊNCIAS DE IMPLEMENTAÇÃO ENTRE OS CASOS DE USO</t>
  </si>
  <si>
    <t>Tempo Estimado</t>
  </si>
  <si>
    <t>Tempo Medido</t>
  </si>
  <si>
    <t>Fator Performance</t>
  </si>
  <si>
    <t>Totais</t>
  </si>
  <si>
    <t>Desenvolvimento</t>
  </si>
  <si>
    <t>Horas</t>
  </si>
  <si>
    <t>Atividades</t>
  </si>
  <si>
    <t>Investimento</t>
  </si>
  <si>
    <t>Máximo em Recursos Simultâneos</t>
  </si>
  <si>
    <t>;</t>
  </si>
  <si>
    <t>Horas / UCP</t>
  </si>
  <si>
    <t>Valor HH</t>
  </si>
  <si>
    <t>Análise (60% Desenvolvimento)</t>
  </si>
  <si>
    <t>Teste (20% Desenvolvimento)</t>
  </si>
  <si>
    <t>Acomp. Homolog. (20% Desenvolvimento)</t>
  </si>
  <si>
    <t>Total Esforço em Horas</t>
  </si>
  <si>
    <t>Dias Úteis Para Entrega</t>
  </si>
  <si>
    <t>FA1 - Familiaridade dos desenvolvedores com metodologia ALYA &amp; Mobyan</t>
  </si>
  <si>
    <t>FA3 - Experiência dos desenvolvedores com Framework, Arquitetura e Tecnologias ALYA &amp; Mobyan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</si>
</sst>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4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3" xfId="0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12" xfId="0" applyFont="1" applyFill="1" applyBorder="1"/>
    <xf numFmtId="0" fontId="4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2" xfId="0" applyFont="1" applyFill="1" applyBorder="1"/>
    <xf numFmtId="0" fontId="2" fillId="3" borderId="12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7" fillId="0" borderId="0" xfId="0" applyFont="1"/>
    <xf numFmtId="164" fontId="2" fillId="4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1" fillId="2" borderId="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7173" name="Object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1173480</xdr:colOff>
      <xdr:row>0</xdr:row>
      <xdr:rowOff>0</xdr:rowOff>
    </xdr:from>
    <xdr:to>
      <xdr:col>1</xdr:col>
      <xdr:colOff>3131820</xdr:colOff>
      <xdr:row>0</xdr:row>
      <xdr:rowOff>0</xdr:rowOff>
    </xdr:to>
    <xdr:pic>
      <xdr:nvPicPr>
        <xdr:cNvPr id="7196" name="Picture 6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760" y="0"/>
          <a:ext cx="1958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2</xdr:col>
          <xdr:colOff>361950</xdr:colOff>
          <xdr:row>0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281940</xdr:colOff>
      <xdr:row>0</xdr:row>
      <xdr:rowOff>0</xdr:rowOff>
    </xdr:from>
    <xdr:to>
      <xdr:col>6</xdr:col>
      <xdr:colOff>853440</xdr:colOff>
      <xdr:row>0</xdr:row>
      <xdr:rowOff>0</xdr:rowOff>
    </xdr:to>
    <xdr:pic>
      <xdr:nvPicPr>
        <xdr:cNvPr id="1056" name="Picture 7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1080" y="0"/>
          <a:ext cx="19583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23</xdr:row>
      <xdr:rowOff>7620</xdr:rowOff>
    </xdr:from>
    <xdr:to>
      <xdr:col>7</xdr:col>
      <xdr:colOff>60960</xdr:colOff>
      <xdr:row>31</xdr:row>
      <xdr:rowOff>60960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 txBox="1">
          <a:spLocks noChangeArrowheads="1"/>
        </xdr:cNvSpPr>
      </xdr:nvSpPr>
      <xdr:spPr bwMode="auto">
        <a:xfrm>
          <a:off x="7620" y="3002280"/>
          <a:ext cx="6880860" cy="1394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(1) ATOR SIMPLES: SISTEMAS COM TROCA DE ARQUIVOS/PARÂMETROS, PESO = 1</a:t>
          </a:r>
        </a:p>
        <a:p>
          <a:pPr algn="l" rtl="0">
            <a:defRPr sz="1000"/>
          </a:pPr>
          <a:endParaRPr lang="pt-B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(2) ATOR MÉDIO: SISTEMAS COM TROCA DE DADOS VIA TCP/IP OU USUÁRIOS ACESSANDO TRANSAÇÃO ON-LINE EM FORMATO CARACTER, PESO = 2</a:t>
          </a:r>
        </a:p>
        <a:p>
          <a:pPr algn="l" rtl="0">
            <a:defRPr sz="1000"/>
          </a:pPr>
          <a:endParaRPr lang="pt-B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(3) ATOR COMPLEXO REFERE-SE A USUÁRIOS ACESSANDO TRANSAÇÃO ON-LINE EM FORMATO GUI (GRAPHICAL USER INTERFACE), PESO = 3</a:t>
          </a:r>
        </a:p>
        <a:p>
          <a:pPr algn="l" rtl="0">
            <a:defRPr sz="1000"/>
          </a:pPr>
          <a:endParaRPr lang="pt-B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3</xdr:col>
          <xdr:colOff>31750</xdr:colOff>
          <xdr:row>0</xdr:row>
          <xdr:rowOff>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114300</xdr:colOff>
      <xdr:row>0</xdr:row>
      <xdr:rowOff>0</xdr:rowOff>
    </xdr:from>
    <xdr:to>
      <xdr:col>7</xdr:col>
      <xdr:colOff>792480</xdr:colOff>
      <xdr:row>0</xdr:row>
      <xdr:rowOff>0</xdr:rowOff>
    </xdr:to>
    <xdr:pic>
      <xdr:nvPicPr>
        <xdr:cNvPr id="2086" name="Picture 11">
          <a:extLst>
            <a:ext uri="{FF2B5EF4-FFF2-40B4-BE49-F238E27FC236}">
              <a16:creationId xmlns:a16="http://schemas.microsoft.com/office/drawing/2014/main" id="{00000000-0008-0000-02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0"/>
          <a:ext cx="1905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40</xdr:row>
      <xdr:rowOff>137160</xdr:rowOff>
    </xdr:from>
    <xdr:to>
      <xdr:col>8</xdr:col>
      <xdr:colOff>426720</xdr:colOff>
      <xdr:row>47</xdr:row>
      <xdr:rowOff>106680</xdr:rowOff>
    </xdr:to>
    <xdr:sp macro="" textlink="">
      <xdr:nvSpPr>
        <xdr:cNvPr id="2063" name="Text Box 15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SpPr txBox="1">
          <a:spLocks noChangeArrowheads="1"/>
        </xdr:cNvSpPr>
      </xdr:nvSpPr>
      <xdr:spPr bwMode="auto">
        <a:xfrm>
          <a:off x="38100" y="9166860"/>
          <a:ext cx="8206740" cy="1143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(1) CASO DE USO SIMPLES REFERE-SE A CASOS DE USO COM ATÉ 4 CLASSES DE ANÁLISE, PESO = 5</a:t>
          </a:r>
        </a:p>
        <a:p>
          <a:pPr algn="l" rtl="0">
            <a:defRPr sz="1000"/>
          </a:pPr>
          <a:endParaRPr lang="pt-B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(2) CASO DE USO MÉDIO REFERE-SE A CASOS DE USO COM 5 A 10 CLASSES DE ANÁLISE, PESO = 10</a:t>
          </a:r>
        </a:p>
        <a:p>
          <a:pPr algn="l" rtl="0">
            <a:defRPr sz="1000"/>
          </a:pPr>
          <a:endParaRPr lang="pt-B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(3) CASO DE USO COMPLEXO REFERE-SE A CASOS DE USO COM MAIS QUE 10 CLASSES DE ANÁLISE, PESO = 15</a:t>
          </a:r>
        </a:p>
        <a:p>
          <a:pPr algn="l" rtl="0">
            <a:defRPr sz="1000"/>
          </a:pPr>
          <a:endParaRPr lang="pt-B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2</xdr:col>
          <xdr:colOff>361950</xdr:colOff>
          <xdr:row>0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3</xdr:col>
          <xdr:colOff>31750</xdr:colOff>
          <xdr:row>0</xdr:row>
          <xdr:rowOff>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251460</xdr:colOff>
      <xdr:row>0</xdr:row>
      <xdr:rowOff>0</xdr:rowOff>
    </xdr:from>
    <xdr:to>
      <xdr:col>6</xdr:col>
      <xdr:colOff>1173480</xdr:colOff>
      <xdr:row>0</xdr:row>
      <xdr:rowOff>0</xdr:rowOff>
    </xdr:to>
    <xdr:pic>
      <xdr:nvPicPr>
        <xdr:cNvPr id="3090" name="Picture 6">
          <a:extLst>
            <a:ext uri="{FF2B5EF4-FFF2-40B4-BE49-F238E27FC236}">
              <a16:creationId xmlns:a16="http://schemas.microsoft.com/office/drawing/2014/main" id="{00000000-0008-0000-03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3180" y="0"/>
          <a:ext cx="1676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2</xdr:col>
          <xdr:colOff>361950</xdr:colOff>
          <xdr:row>0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2</xdr:col>
          <xdr:colOff>361950</xdr:colOff>
          <xdr:row>0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3</xdr:col>
          <xdr:colOff>31750</xdr:colOff>
          <xdr:row>0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1089660</xdr:colOff>
      <xdr:row>0</xdr:row>
      <xdr:rowOff>0</xdr:rowOff>
    </xdr:from>
    <xdr:to>
      <xdr:col>6</xdr:col>
      <xdr:colOff>1066800</xdr:colOff>
      <xdr:row>0</xdr:row>
      <xdr:rowOff>0</xdr:rowOff>
    </xdr:to>
    <xdr:pic>
      <xdr:nvPicPr>
        <xdr:cNvPr id="4115" name="Picture 7">
          <a:extLst>
            <a:ext uri="{FF2B5EF4-FFF2-40B4-BE49-F238E27FC236}">
              <a16:creationId xmlns:a16="http://schemas.microsoft.com/office/drawing/2014/main" id="{00000000-0008-0000-0400-00001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8860" y="0"/>
          <a:ext cx="19202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209550</xdr:colOff>
          <xdr:row>0</xdr:row>
          <xdr:rowOff>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1135380</xdr:colOff>
      <xdr:row>0</xdr:row>
      <xdr:rowOff>0</xdr:rowOff>
    </xdr:from>
    <xdr:to>
      <xdr:col>6</xdr:col>
      <xdr:colOff>624840</xdr:colOff>
      <xdr:row>0</xdr:row>
      <xdr:rowOff>0</xdr:rowOff>
    </xdr:to>
    <xdr:pic>
      <xdr:nvPicPr>
        <xdr:cNvPr id="8212" name="Picture 2">
          <a:extLst>
            <a:ext uri="{FF2B5EF4-FFF2-40B4-BE49-F238E27FC236}">
              <a16:creationId xmlns:a16="http://schemas.microsoft.com/office/drawing/2014/main" id="{00000000-0008-0000-0500-00001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2480" y="0"/>
          <a:ext cx="1882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0</xdr:row>
          <xdr:rowOff>0</xdr:rowOff>
        </xdr:from>
        <xdr:to>
          <xdr:col>3</xdr:col>
          <xdr:colOff>31750</xdr:colOff>
          <xdr:row>0</xdr:row>
          <xdr:rowOff>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114300</xdr:colOff>
      <xdr:row>0</xdr:row>
      <xdr:rowOff>0</xdr:rowOff>
    </xdr:from>
    <xdr:to>
      <xdr:col>6</xdr:col>
      <xdr:colOff>792480</xdr:colOff>
      <xdr:row>0</xdr:row>
      <xdr:rowOff>0</xdr:rowOff>
    </xdr:to>
    <xdr:pic>
      <xdr:nvPicPr>
        <xdr:cNvPr id="9231" name="Picture 2">
          <a:extLst>
            <a:ext uri="{FF2B5EF4-FFF2-40B4-BE49-F238E27FC236}">
              <a16:creationId xmlns:a16="http://schemas.microsoft.com/office/drawing/2014/main" id="{00000000-0008-0000-0600-00000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0"/>
          <a:ext cx="2324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oleObject" Target="../embeddings/oleObject8.bin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workbookViewId="0">
      <selection activeCell="A5" sqref="A5"/>
    </sheetView>
  </sheetViews>
  <sheetFormatPr defaultRowHeight="12.5" x14ac:dyDescent="0.25"/>
  <cols>
    <col min="1" max="1" width="66" customWidth="1"/>
    <col min="2" max="2" width="46.54296875" style="2" customWidth="1"/>
  </cols>
  <sheetData>
    <row r="1" spans="1:2" s="21" customFormat="1" ht="18" x14ac:dyDescent="0.4">
      <c r="A1" s="69" t="s">
        <v>75</v>
      </c>
      <c r="B1" s="69"/>
    </row>
    <row r="2" spans="1:2" s="1" customFormat="1" ht="15.5" x14ac:dyDescent="0.35">
      <c r="A2" s="70" t="s">
        <v>80</v>
      </c>
      <c r="B2" s="70"/>
    </row>
    <row r="4" spans="1:2" s="1" customFormat="1" ht="15.5" x14ac:dyDescent="0.35">
      <c r="A4" s="32" t="s">
        <v>71</v>
      </c>
      <c r="B4" s="32" t="s">
        <v>74</v>
      </c>
    </row>
    <row r="5" spans="1:2" x14ac:dyDescent="0.25">
      <c r="A5" s="52"/>
      <c r="B5" s="52"/>
    </row>
    <row r="6" spans="1:2" x14ac:dyDescent="0.25">
      <c r="A6" s="52"/>
      <c r="B6" s="52"/>
    </row>
    <row r="7" spans="1:2" x14ac:dyDescent="0.25">
      <c r="A7" s="52"/>
      <c r="B7" s="52"/>
    </row>
    <row r="8" spans="1:2" x14ac:dyDescent="0.25">
      <c r="A8" s="52"/>
      <c r="B8" s="52"/>
    </row>
    <row r="10" spans="1:2" s="1" customFormat="1" ht="15.5" x14ac:dyDescent="0.35">
      <c r="A10" s="32" t="s">
        <v>74</v>
      </c>
      <c r="B10" s="54" t="s">
        <v>72</v>
      </c>
    </row>
    <row r="11" spans="1:2" x14ac:dyDescent="0.25">
      <c r="A11" s="52"/>
      <c r="B11" s="53"/>
    </row>
    <row r="12" spans="1:2" x14ac:dyDescent="0.25">
      <c r="A12" s="52"/>
      <c r="B12" s="53"/>
    </row>
    <row r="13" spans="1:2" x14ac:dyDescent="0.25">
      <c r="A13" s="52"/>
      <c r="B13" s="53"/>
    </row>
    <row r="14" spans="1:2" x14ac:dyDescent="0.25">
      <c r="A14" s="52"/>
      <c r="B14" s="53"/>
    </row>
    <row r="15" spans="1:2" x14ac:dyDescent="0.25">
      <c r="A15" s="52"/>
      <c r="B15" s="53"/>
    </row>
    <row r="17" spans="1:2" ht="15.5" x14ac:dyDescent="0.35">
      <c r="A17" s="32" t="s">
        <v>71</v>
      </c>
      <c r="B17" s="54" t="s">
        <v>73</v>
      </c>
    </row>
    <row r="18" spans="1:2" x14ac:dyDescent="0.25">
      <c r="A18" s="52"/>
      <c r="B18" s="55"/>
    </row>
    <row r="19" spans="1:2" x14ac:dyDescent="0.25">
      <c r="A19" s="52"/>
      <c r="B19" s="55"/>
    </row>
    <row r="20" spans="1:2" x14ac:dyDescent="0.25">
      <c r="A20" s="52"/>
      <c r="B20" s="55"/>
    </row>
    <row r="21" spans="1:2" x14ac:dyDescent="0.25">
      <c r="A21" s="52"/>
      <c r="B21" s="53"/>
    </row>
  </sheetData>
  <mergeCells count="2">
    <mergeCell ref="A1:B1"/>
    <mergeCell ref="A2:B2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717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Word.Picture.8" shapeId="71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workbookViewId="0">
      <selection activeCell="A6" sqref="A6:G13"/>
    </sheetView>
  </sheetViews>
  <sheetFormatPr defaultRowHeight="12.5" x14ac:dyDescent="0.25"/>
  <cols>
    <col min="4" max="4" width="39.7265625" bestFit="1" customWidth="1"/>
    <col min="5" max="6" width="10.1796875" style="2" customWidth="1"/>
    <col min="7" max="7" width="13" style="2" customWidth="1"/>
  </cols>
  <sheetData>
    <row r="1" spans="1:7" s="21" customFormat="1" ht="18" x14ac:dyDescent="0.4">
      <c r="A1" s="69" t="s">
        <v>75</v>
      </c>
      <c r="B1" s="69"/>
      <c r="C1" s="69"/>
      <c r="D1" s="69"/>
      <c r="E1" s="69"/>
      <c r="F1" s="69"/>
      <c r="G1" s="69"/>
    </row>
    <row r="2" spans="1:7" s="1" customFormat="1" ht="15.5" x14ac:dyDescent="0.35">
      <c r="A2" s="70" t="s">
        <v>76</v>
      </c>
      <c r="B2" s="70"/>
      <c r="C2" s="70"/>
      <c r="D2" s="70"/>
      <c r="E2" s="70"/>
      <c r="F2" s="70"/>
      <c r="G2" s="70"/>
    </row>
    <row r="4" spans="1:7" s="1" customFormat="1" ht="15.5" x14ac:dyDescent="0.35">
      <c r="A4" s="32" t="s">
        <v>0</v>
      </c>
      <c r="B4" s="33"/>
      <c r="C4" s="33"/>
      <c r="D4" s="34"/>
      <c r="E4" s="38" t="s">
        <v>1</v>
      </c>
      <c r="F4" s="38" t="s">
        <v>2</v>
      </c>
      <c r="G4" s="38" t="s">
        <v>16</v>
      </c>
    </row>
    <row r="5" spans="1:7" s="1" customFormat="1" ht="15.5" x14ac:dyDescent="0.35">
      <c r="A5" s="35"/>
      <c r="B5" s="36"/>
      <c r="C5" s="36"/>
      <c r="D5" s="37"/>
      <c r="E5" s="40" t="s">
        <v>37</v>
      </c>
      <c r="F5" s="40" t="s">
        <v>38</v>
      </c>
      <c r="G5" s="40" t="s">
        <v>39</v>
      </c>
    </row>
    <row r="6" spans="1:7" x14ac:dyDescent="0.25">
      <c r="A6" s="71"/>
      <c r="B6" s="72"/>
      <c r="C6" s="72"/>
      <c r="D6" s="73"/>
      <c r="E6" s="3"/>
      <c r="F6" s="3"/>
      <c r="G6" s="3"/>
    </row>
    <row r="7" spans="1:7" x14ac:dyDescent="0.25">
      <c r="A7" s="71"/>
      <c r="B7" s="72"/>
      <c r="C7" s="72"/>
      <c r="D7" s="73"/>
      <c r="E7" s="3"/>
      <c r="F7" s="3"/>
      <c r="G7" s="3"/>
    </row>
    <row r="8" spans="1:7" x14ac:dyDescent="0.25">
      <c r="A8" s="71"/>
      <c r="B8" s="72"/>
      <c r="C8" s="72"/>
      <c r="D8" s="73"/>
      <c r="E8" s="3"/>
      <c r="F8" s="3"/>
      <c r="G8" s="3"/>
    </row>
    <row r="9" spans="1:7" x14ac:dyDescent="0.25">
      <c r="A9" s="71"/>
      <c r="B9" s="72"/>
      <c r="C9" s="72"/>
      <c r="D9" s="73"/>
      <c r="E9" s="3"/>
      <c r="F9" s="3"/>
      <c r="G9" s="3"/>
    </row>
    <row r="10" spans="1:7" x14ac:dyDescent="0.25">
      <c r="A10" s="71"/>
      <c r="B10" s="72"/>
      <c r="C10" s="72"/>
      <c r="D10" s="73"/>
      <c r="E10" s="3"/>
      <c r="F10" s="3"/>
      <c r="G10" s="3"/>
    </row>
    <row r="11" spans="1:7" x14ac:dyDescent="0.25">
      <c r="A11" s="71"/>
      <c r="B11" s="72"/>
      <c r="C11" s="72"/>
      <c r="D11" s="73"/>
      <c r="E11" s="3"/>
      <c r="F11" s="3"/>
      <c r="G11" s="3"/>
    </row>
    <row r="12" spans="1:7" x14ac:dyDescent="0.25">
      <c r="A12" s="71"/>
      <c r="B12" s="72"/>
      <c r="C12" s="72"/>
      <c r="D12" s="73"/>
      <c r="E12" s="3"/>
      <c r="F12" s="3"/>
      <c r="G12" s="3"/>
    </row>
    <row r="13" spans="1:7" x14ac:dyDescent="0.25">
      <c r="A13" s="71"/>
      <c r="B13" s="72"/>
      <c r="C13" s="72"/>
      <c r="D13" s="73"/>
      <c r="E13" s="3"/>
      <c r="F13" s="3"/>
      <c r="G13" s="3"/>
    </row>
    <row r="14" spans="1:7" x14ac:dyDescent="0.25">
      <c r="A14" s="71"/>
      <c r="B14" s="72"/>
      <c r="C14" s="72"/>
      <c r="D14" s="73"/>
      <c r="E14" s="3"/>
      <c r="F14" s="3"/>
      <c r="G14" s="3"/>
    </row>
    <row r="15" spans="1:7" x14ac:dyDescent="0.25">
      <c r="A15" s="71"/>
      <c r="B15" s="72"/>
      <c r="C15" s="72"/>
      <c r="D15" s="73"/>
      <c r="E15" s="3"/>
      <c r="F15" s="3"/>
      <c r="G15" s="3"/>
    </row>
    <row r="16" spans="1:7" x14ac:dyDescent="0.25">
      <c r="A16" s="71"/>
      <c r="B16" s="72"/>
      <c r="C16" s="72"/>
      <c r="D16" s="73"/>
      <c r="E16" s="3"/>
      <c r="F16" s="3"/>
      <c r="G16" s="3"/>
    </row>
    <row r="17" spans="1:7" s="4" customFormat="1" ht="13" x14ac:dyDescent="0.3">
      <c r="D17" s="5" t="s">
        <v>14</v>
      </c>
      <c r="E17" s="7">
        <f>SUM(E6:E16)</f>
        <v>0</v>
      </c>
      <c r="F17" s="7">
        <f>SUM(F6:F16)</f>
        <v>0</v>
      </c>
      <c r="G17" s="7">
        <f>SUM(G6:G16)</f>
        <v>0</v>
      </c>
    </row>
    <row r="18" spans="1:7" s="4" customFormat="1" ht="13" x14ac:dyDescent="0.3">
      <c r="D18" s="5" t="s">
        <v>3</v>
      </c>
      <c r="E18" s="7">
        <f>E17*1</f>
        <v>0</v>
      </c>
      <c r="F18" s="7">
        <f>F17*2</f>
        <v>0</v>
      </c>
      <c r="G18" s="7">
        <f>G17*3</f>
        <v>0</v>
      </c>
    </row>
    <row r="20" spans="1:7" s="4" customFormat="1" ht="13" x14ac:dyDescent="0.3">
      <c r="D20" s="8" t="s">
        <v>34</v>
      </c>
      <c r="E20" s="10"/>
      <c r="F20" s="14">
        <f>SUM(E18:G18)</f>
        <v>0</v>
      </c>
      <c r="G20" s="2"/>
    </row>
    <row r="21" spans="1:7" s="4" customFormat="1" ht="13" x14ac:dyDescent="0.3">
      <c r="D21" s="11" t="s">
        <v>33</v>
      </c>
      <c r="E21" s="13"/>
      <c r="F21" s="15"/>
      <c r="G21" s="2"/>
    </row>
    <row r="24" spans="1:7" s="4" customFormat="1" ht="13" x14ac:dyDescent="0.3">
      <c r="A24"/>
      <c r="B24"/>
      <c r="C24"/>
      <c r="D24"/>
      <c r="E24" s="2"/>
      <c r="F24" s="2"/>
    </row>
    <row r="25" spans="1:7" s="4" customFormat="1" ht="13" x14ac:dyDescent="0.3">
      <c r="A25"/>
      <c r="B25"/>
      <c r="C25"/>
      <c r="D25"/>
      <c r="E25" s="2"/>
      <c r="F25" s="2"/>
    </row>
    <row r="26" spans="1:7" s="4" customFormat="1" ht="13" x14ac:dyDescent="0.3">
      <c r="A26"/>
      <c r="B26"/>
      <c r="C26"/>
      <c r="D26"/>
      <c r="E26" s="2"/>
      <c r="F26" s="2"/>
    </row>
    <row r="27" spans="1:7" s="4" customFormat="1" ht="13" x14ac:dyDescent="0.3">
      <c r="A27"/>
      <c r="B27"/>
      <c r="C27"/>
      <c r="D27"/>
      <c r="E27" s="2"/>
      <c r="F27" s="2"/>
    </row>
    <row r="28" spans="1:7" s="4" customFormat="1" ht="13" x14ac:dyDescent="0.3">
      <c r="A28"/>
      <c r="B28"/>
      <c r="C28"/>
      <c r="D28"/>
      <c r="E28" s="2"/>
      <c r="F28" s="2"/>
      <c r="G28" s="20"/>
    </row>
    <row r="29" spans="1:7" s="4" customFormat="1" ht="13" x14ac:dyDescent="0.3">
      <c r="A29"/>
      <c r="B29"/>
      <c r="C29"/>
      <c r="D29"/>
      <c r="E29" s="2"/>
      <c r="F29" s="2"/>
    </row>
    <row r="30" spans="1:7" s="4" customFormat="1" ht="13" x14ac:dyDescent="0.3">
      <c r="A30"/>
      <c r="B30"/>
      <c r="C30"/>
      <c r="D30"/>
      <c r="E30" s="2"/>
      <c r="F30" s="2"/>
    </row>
    <row r="31" spans="1:7" s="4" customFormat="1" ht="13" x14ac:dyDescent="0.3">
      <c r="A31"/>
      <c r="B31"/>
      <c r="C31"/>
      <c r="D31"/>
      <c r="E31" s="2"/>
      <c r="F31" s="2"/>
      <c r="G31" s="20"/>
    </row>
  </sheetData>
  <mergeCells count="13">
    <mergeCell ref="A8:D8"/>
    <mergeCell ref="A9:D9"/>
    <mergeCell ref="A16:D16"/>
    <mergeCell ref="A1:G1"/>
    <mergeCell ref="A2:G2"/>
    <mergeCell ref="A6:D6"/>
    <mergeCell ref="A7:D7"/>
    <mergeCell ref="A15:D15"/>
    <mergeCell ref="A10:D10"/>
    <mergeCell ref="A14:D14"/>
    <mergeCell ref="A11:D11"/>
    <mergeCell ref="A12:D12"/>
    <mergeCell ref="A13:D13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verticalDpi="0" r:id="rId1"/>
  <headerFooter alignWithMargins="0">
    <oddFooter>&amp;CPág. &amp;P&amp;RData : &amp;D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1027" r:id="rId4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2</xdr:col>
                <xdr:colOff>361950</xdr:colOff>
                <xdr:row>0</xdr:row>
                <xdr:rowOff>0</xdr:rowOff>
              </to>
            </anchor>
          </objectPr>
        </oleObject>
      </mc:Choice>
      <mc:Fallback>
        <oleObject progId="Word.Picture.8" shapeId="102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showGridLines="0" workbookViewId="0">
      <selection activeCell="A6" sqref="A6:E22"/>
    </sheetView>
  </sheetViews>
  <sheetFormatPr defaultRowHeight="12.5" x14ac:dyDescent="0.25"/>
  <cols>
    <col min="1" max="1" width="4.81640625" customWidth="1"/>
    <col min="2" max="2" width="5.7265625" customWidth="1"/>
    <col min="3" max="3" width="13.26953125" customWidth="1"/>
    <col min="4" max="4" width="112.7265625" customWidth="1"/>
    <col min="5" max="5" width="10.26953125" style="2" customWidth="1"/>
    <col min="6" max="6" width="10" style="2" customWidth="1"/>
    <col min="7" max="7" width="7.81640625" style="2" bestFit="1" customWidth="1"/>
    <col min="8" max="8" width="12.453125" style="2" bestFit="1" customWidth="1"/>
  </cols>
  <sheetData>
    <row r="1" spans="1:8" s="21" customFormat="1" ht="18" x14ac:dyDescent="0.4">
      <c r="A1" s="69" t="s">
        <v>75</v>
      </c>
      <c r="B1" s="69"/>
      <c r="C1" s="69"/>
      <c r="D1" s="69"/>
      <c r="E1" s="69"/>
      <c r="F1" s="69"/>
      <c r="G1" s="69"/>
      <c r="H1" s="69"/>
    </row>
    <row r="2" spans="1:8" s="1" customFormat="1" ht="15.5" x14ac:dyDescent="0.35">
      <c r="A2" s="70" t="s">
        <v>77</v>
      </c>
      <c r="B2" s="70"/>
      <c r="C2" s="70"/>
      <c r="D2" s="70"/>
      <c r="E2" s="70"/>
      <c r="F2" s="70"/>
      <c r="G2" s="70"/>
      <c r="H2" s="70"/>
    </row>
    <row r="4" spans="1:8" s="1" customFormat="1" ht="15.5" x14ac:dyDescent="0.35">
      <c r="A4" s="32" t="s">
        <v>4</v>
      </c>
      <c r="B4" s="33"/>
      <c r="C4" s="33"/>
      <c r="D4" s="34"/>
      <c r="E4" s="38" t="s">
        <v>62</v>
      </c>
      <c r="F4" s="38" t="s">
        <v>1</v>
      </c>
      <c r="G4" s="38" t="s">
        <v>2</v>
      </c>
      <c r="H4" s="38" t="s">
        <v>16</v>
      </c>
    </row>
    <row r="5" spans="1:8" s="1" customFormat="1" ht="15.5" x14ac:dyDescent="0.35">
      <c r="A5" s="35"/>
      <c r="B5" s="36"/>
      <c r="C5" s="36"/>
      <c r="D5" s="37"/>
      <c r="E5" s="40" t="s">
        <v>63</v>
      </c>
      <c r="F5" s="40" t="s">
        <v>40</v>
      </c>
      <c r="G5" s="40" t="s">
        <v>38</v>
      </c>
      <c r="H5" s="40" t="s">
        <v>39</v>
      </c>
    </row>
    <row r="6" spans="1:8" ht="12.75" customHeight="1" x14ac:dyDescent="0.3">
      <c r="A6" s="74"/>
      <c r="B6" s="75"/>
      <c r="C6" s="75"/>
      <c r="D6" s="76"/>
      <c r="E6" s="3"/>
      <c r="F6" s="7">
        <f t="shared" ref="F6:F30" si="0">IF((E6&gt;0)*(E6&lt;=4),1,0)</f>
        <v>0</v>
      </c>
      <c r="G6" s="7">
        <f t="shared" ref="G6:G30" si="1">IF((E6&gt;4)*(E6&lt;=10),1,0)</f>
        <v>0</v>
      </c>
      <c r="H6" s="7">
        <f t="shared" ref="H6:H30" si="2">IF(E6&gt;10,1,0)</f>
        <v>0</v>
      </c>
    </row>
    <row r="7" spans="1:8" ht="12.75" customHeight="1" x14ac:dyDescent="0.3">
      <c r="A7" s="74"/>
      <c r="B7" s="75"/>
      <c r="C7" s="75"/>
      <c r="D7" s="76"/>
      <c r="E7" s="3"/>
      <c r="F7" s="7">
        <f t="shared" si="0"/>
        <v>0</v>
      </c>
      <c r="G7" s="7">
        <f t="shared" si="1"/>
        <v>0</v>
      </c>
      <c r="H7" s="7">
        <f t="shared" si="2"/>
        <v>0</v>
      </c>
    </row>
    <row r="8" spans="1:8" ht="12.75" customHeight="1" x14ac:dyDescent="0.3">
      <c r="A8" s="74"/>
      <c r="B8" s="75"/>
      <c r="C8" s="75"/>
      <c r="D8" s="76"/>
      <c r="E8" s="3"/>
      <c r="F8" s="7">
        <f t="shared" si="0"/>
        <v>0</v>
      </c>
      <c r="G8" s="7">
        <f t="shared" si="1"/>
        <v>0</v>
      </c>
      <c r="H8" s="7">
        <f t="shared" si="2"/>
        <v>0</v>
      </c>
    </row>
    <row r="9" spans="1:8" ht="12.75" customHeight="1" x14ac:dyDescent="0.3">
      <c r="A9" s="74"/>
      <c r="B9" s="75"/>
      <c r="C9" s="75"/>
      <c r="D9" s="76"/>
      <c r="E9" s="3"/>
      <c r="F9" s="7">
        <f t="shared" si="0"/>
        <v>0</v>
      </c>
      <c r="G9" s="7">
        <f t="shared" si="1"/>
        <v>0</v>
      </c>
      <c r="H9" s="7">
        <f t="shared" si="2"/>
        <v>0</v>
      </c>
    </row>
    <row r="10" spans="1:8" ht="12.75" customHeight="1" x14ac:dyDescent="0.3">
      <c r="A10" s="74"/>
      <c r="B10" s="75"/>
      <c r="C10" s="75"/>
      <c r="D10" s="76"/>
      <c r="E10" s="3"/>
      <c r="F10" s="7">
        <f t="shared" si="0"/>
        <v>0</v>
      </c>
      <c r="G10" s="7">
        <f t="shared" si="1"/>
        <v>0</v>
      </c>
      <c r="H10" s="7">
        <f t="shared" si="2"/>
        <v>0</v>
      </c>
    </row>
    <row r="11" spans="1:8" ht="13" x14ac:dyDescent="0.3">
      <c r="A11" s="74"/>
      <c r="B11" s="75"/>
      <c r="C11" s="75"/>
      <c r="D11" s="76"/>
      <c r="E11" s="3"/>
      <c r="F11" s="7">
        <f t="shared" ref="F11:F13" si="3">IF((E11&gt;0)*(E11&lt;=4),1,0)</f>
        <v>0</v>
      </c>
      <c r="G11" s="7">
        <f t="shared" ref="G11:G13" si="4">IF((E11&gt;4)*(E11&lt;=10),1,0)</f>
        <v>0</v>
      </c>
      <c r="H11" s="7">
        <f t="shared" ref="H11:H13" si="5">IF(E11&gt;10,1,0)</f>
        <v>0</v>
      </c>
    </row>
    <row r="12" spans="1:8" ht="13" x14ac:dyDescent="0.3">
      <c r="A12" s="74"/>
      <c r="B12" s="75"/>
      <c r="C12" s="75"/>
      <c r="D12" s="76"/>
      <c r="E12" s="3"/>
      <c r="F12" s="7">
        <f t="shared" si="3"/>
        <v>0</v>
      </c>
      <c r="G12" s="7">
        <f t="shared" si="4"/>
        <v>0</v>
      </c>
      <c r="H12" s="7">
        <f t="shared" si="5"/>
        <v>0</v>
      </c>
    </row>
    <row r="13" spans="1:8" ht="13" x14ac:dyDescent="0.3">
      <c r="A13" s="74"/>
      <c r="B13" s="75"/>
      <c r="C13" s="75"/>
      <c r="D13" s="76"/>
      <c r="E13" s="3"/>
      <c r="F13" s="7">
        <f t="shared" si="3"/>
        <v>0</v>
      </c>
      <c r="G13" s="7">
        <f t="shared" si="4"/>
        <v>0</v>
      </c>
      <c r="H13" s="7">
        <f t="shared" si="5"/>
        <v>0</v>
      </c>
    </row>
    <row r="14" spans="1:8" ht="13" x14ac:dyDescent="0.3">
      <c r="A14" s="74"/>
      <c r="B14" s="75"/>
      <c r="C14" s="75"/>
      <c r="D14" s="76"/>
      <c r="E14" s="3"/>
      <c r="F14" s="7">
        <f t="shared" ref="F14:F17" si="6">IF((E14&gt;0)*(E14&lt;=4),1,0)</f>
        <v>0</v>
      </c>
      <c r="G14" s="7">
        <f t="shared" ref="G14:G17" si="7">IF((E14&gt;4)*(E14&lt;=10),1,0)</f>
        <v>0</v>
      </c>
      <c r="H14" s="7">
        <f t="shared" ref="H14:H17" si="8">IF(E14&gt;10,1,0)</f>
        <v>0</v>
      </c>
    </row>
    <row r="15" spans="1:8" ht="13" x14ac:dyDescent="0.3">
      <c r="A15" s="74"/>
      <c r="B15" s="75"/>
      <c r="C15" s="75"/>
      <c r="D15" s="76"/>
      <c r="E15" s="3"/>
      <c r="F15" s="7">
        <f t="shared" si="6"/>
        <v>0</v>
      </c>
      <c r="G15" s="7">
        <f t="shared" si="7"/>
        <v>0</v>
      </c>
      <c r="H15" s="7">
        <f t="shared" si="8"/>
        <v>0</v>
      </c>
    </row>
    <row r="16" spans="1:8" ht="13" x14ac:dyDescent="0.3">
      <c r="A16" s="74"/>
      <c r="B16" s="75"/>
      <c r="C16" s="75"/>
      <c r="D16" s="76"/>
      <c r="E16" s="3"/>
      <c r="F16" s="7">
        <f t="shared" si="6"/>
        <v>0</v>
      </c>
      <c r="G16" s="7">
        <f t="shared" si="7"/>
        <v>0</v>
      </c>
      <c r="H16" s="7">
        <f t="shared" si="8"/>
        <v>0</v>
      </c>
    </row>
    <row r="17" spans="1:8" ht="13" x14ac:dyDescent="0.3">
      <c r="A17" s="74"/>
      <c r="B17" s="75"/>
      <c r="C17" s="75"/>
      <c r="D17" s="76"/>
      <c r="E17" s="3"/>
      <c r="F17" s="7">
        <f t="shared" si="6"/>
        <v>0</v>
      </c>
      <c r="G17" s="7">
        <f t="shared" si="7"/>
        <v>0</v>
      </c>
      <c r="H17" s="7">
        <f t="shared" si="8"/>
        <v>0</v>
      </c>
    </row>
    <row r="18" spans="1:8" ht="13" x14ac:dyDescent="0.3">
      <c r="A18" s="74"/>
      <c r="B18" s="75"/>
      <c r="C18" s="75"/>
      <c r="D18" s="76"/>
      <c r="E18" s="3"/>
      <c r="F18" s="7">
        <f t="shared" si="0"/>
        <v>0</v>
      </c>
      <c r="G18" s="7">
        <f t="shared" si="1"/>
        <v>0</v>
      </c>
      <c r="H18" s="7">
        <f t="shared" si="2"/>
        <v>0</v>
      </c>
    </row>
    <row r="19" spans="1:8" ht="13" x14ac:dyDescent="0.3">
      <c r="A19" s="74"/>
      <c r="B19" s="75"/>
      <c r="C19" s="75"/>
      <c r="D19" s="76"/>
      <c r="E19" s="3"/>
      <c r="F19" s="7">
        <f t="shared" ref="F19:F24" si="9">IF((E19&gt;0)*(E19&lt;=4),1,0)</f>
        <v>0</v>
      </c>
      <c r="G19" s="7">
        <f t="shared" ref="G19:G24" si="10">IF((E19&gt;4)*(E19&lt;=10),1,0)</f>
        <v>0</v>
      </c>
      <c r="H19" s="7">
        <f t="shared" ref="H19:H24" si="11">IF(E19&gt;10,1,0)</f>
        <v>0</v>
      </c>
    </row>
    <row r="20" spans="1:8" ht="13" x14ac:dyDescent="0.3">
      <c r="A20" s="74"/>
      <c r="B20" s="75"/>
      <c r="C20" s="75"/>
      <c r="D20" s="76"/>
      <c r="E20" s="3"/>
      <c r="F20" s="7">
        <f t="shared" si="9"/>
        <v>0</v>
      </c>
      <c r="G20" s="7">
        <f t="shared" si="10"/>
        <v>0</v>
      </c>
      <c r="H20" s="7">
        <f t="shared" si="11"/>
        <v>0</v>
      </c>
    </row>
    <row r="21" spans="1:8" ht="13" x14ac:dyDescent="0.3">
      <c r="A21" s="74"/>
      <c r="B21" s="75"/>
      <c r="C21" s="75"/>
      <c r="D21" s="76"/>
      <c r="E21" s="3"/>
      <c r="F21" s="7">
        <f t="shared" si="9"/>
        <v>0</v>
      </c>
      <c r="G21" s="7">
        <f t="shared" si="10"/>
        <v>0</v>
      </c>
      <c r="H21" s="7">
        <f t="shared" si="11"/>
        <v>0</v>
      </c>
    </row>
    <row r="22" spans="1:8" ht="13" x14ac:dyDescent="0.3">
      <c r="A22" s="74"/>
      <c r="B22" s="75"/>
      <c r="C22" s="75"/>
      <c r="D22" s="76"/>
      <c r="E22" s="3"/>
      <c r="F22" s="7">
        <f t="shared" si="9"/>
        <v>0</v>
      </c>
      <c r="G22" s="7">
        <f t="shared" si="10"/>
        <v>0</v>
      </c>
      <c r="H22" s="7">
        <f t="shared" si="11"/>
        <v>0</v>
      </c>
    </row>
    <row r="23" spans="1:8" ht="13" x14ac:dyDescent="0.3">
      <c r="A23" s="74"/>
      <c r="B23" s="75"/>
      <c r="C23" s="75"/>
      <c r="D23" s="76"/>
      <c r="E23" s="3"/>
      <c r="F23" s="7">
        <f t="shared" si="9"/>
        <v>0</v>
      </c>
      <c r="G23" s="7">
        <f t="shared" si="10"/>
        <v>0</v>
      </c>
      <c r="H23" s="7">
        <f t="shared" si="11"/>
        <v>0</v>
      </c>
    </row>
    <row r="24" spans="1:8" ht="13" x14ac:dyDescent="0.3">
      <c r="A24" s="74"/>
      <c r="B24" s="75"/>
      <c r="C24" s="75"/>
      <c r="D24" s="76"/>
      <c r="E24" s="3"/>
      <c r="F24" s="7">
        <f t="shared" si="9"/>
        <v>0</v>
      </c>
      <c r="G24" s="7">
        <f t="shared" si="10"/>
        <v>0</v>
      </c>
      <c r="H24" s="7">
        <f t="shared" si="11"/>
        <v>0</v>
      </c>
    </row>
    <row r="25" spans="1:8" ht="13" x14ac:dyDescent="0.3">
      <c r="A25" s="74"/>
      <c r="B25" s="75"/>
      <c r="C25" s="75"/>
      <c r="D25" s="76"/>
      <c r="E25" s="3"/>
      <c r="F25" s="7">
        <f t="shared" si="0"/>
        <v>0</v>
      </c>
      <c r="G25" s="7">
        <f t="shared" si="1"/>
        <v>0</v>
      </c>
      <c r="H25" s="7">
        <f t="shared" si="2"/>
        <v>0</v>
      </c>
    </row>
    <row r="26" spans="1:8" ht="13" x14ac:dyDescent="0.3">
      <c r="A26" s="74"/>
      <c r="B26" s="75"/>
      <c r="C26" s="75"/>
      <c r="D26" s="76"/>
      <c r="E26" s="3"/>
      <c r="F26" s="7">
        <f t="shared" si="0"/>
        <v>0</v>
      </c>
      <c r="G26" s="7">
        <f t="shared" si="1"/>
        <v>0</v>
      </c>
      <c r="H26" s="7">
        <f t="shared" si="2"/>
        <v>0</v>
      </c>
    </row>
    <row r="27" spans="1:8" ht="13" x14ac:dyDescent="0.3">
      <c r="A27" s="74"/>
      <c r="B27" s="75"/>
      <c r="C27" s="75"/>
      <c r="D27" s="76"/>
      <c r="E27" s="3"/>
      <c r="F27" s="7">
        <f t="shared" ref="F27" si="12">IF((E27&gt;0)*(E27&lt;=4),1,0)</f>
        <v>0</v>
      </c>
      <c r="G27" s="7">
        <f t="shared" ref="G27" si="13">IF((E27&gt;4)*(E27&lt;=10),1,0)</f>
        <v>0</v>
      </c>
      <c r="H27" s="7">
        <f t="shared" ref="H27" si="14">IF(E27&gt;10,1,0)</f>
        <v>0</v>
      </c>
    </row>
    <row r="28" spans="1:8" ht="13" x14ac:dyDescent="0.3">
      <c r="A28" s="74"/>
      <c r="B28" s="75"/>
      <c r="C28" s="75"/>
      <c r="D28" s="76"/>
      <c r="E28" s="3"/>
      <c r="F28" s="7">
        <f t="shared" ref="F28" si="15">IF((E28&gt;0)*(E28&lt;=4),1,0)</f>
        <v>0</v>
      </c>
      <c r="G28" s="7">
        <f t="shared" ref="G28" si="16">IF((E28&gt;4)*(E28&lt;=10),1,0)</f>
        <v>0</v>
      </c>
      <c r="H28" s="7">
        <f t="shared" ref="H28" si="17">IF(E28&gt;10,1,0)</f>
        <v>0</v>
      </c>
    </row>
    <row r="29" spans="1:8" ht="13" x14ac:dyDescent="0.3">
      <c r="A29" s="74"/>
      <c r="B29" s="75"/>
      <c r="C29" s="75"/>
      <c r="D29" s="76"/>
      <c r="E29" s="3"/>
      <c r="F29" s="7">
        <f t="shared" ref="F29" si="18">IF((E29&gt;0)*(E29&lt;=4),1,0)</f>
        <v>0</v>
      </c>
      <c r="G29" s="7">
        <f t="shared" ref="G29" si="19">IF((E29&gt;4)*(E29&lt;=10),1,0)</f>
        <v>0</v>
      </c>
      <c r="H29" s="7">
        <f t="shared" ref="H29" si="20">IF(E29&gt;10,1,0)</f>
        <v>0</v>
      </c>
    </row>
    <row r="30" spans="1:8" ht="13" x14ac:dyDescent="0.3">
      <c r="A30" s="74"/>
      <c r="B30" s="75"/>
      <c r="C30" s="75"/>
      <c r="D30" s="76"/>
      <c r="E30" s="3"/>
      <c r="F30" s="7">
        <f t="shared" si="0"/>
        <v>0</v>
      </c>
      <c r="G30" s="7">
        <f t="shared" si="1"/>
        <v>0</v>
      </c>
      <c r="H30" s="7">
        <f t="shared" si="2"/>
        <v>0</v>
      </c>
    </row>
    <row r="31" spans="1:8" s="4" customFormat="1" ht="13" x14ac:dyDescent="0.3">
      <c r="C31" s="5" t="s">
        <v>15</v>
      </c>
      <c r="D31" s="16"/>
      <c r="E31" s="18"/>
      <c r="F31" s="44"/>
      <c r="G31" s="17">
        <f>F32+G32+H32</f>
        <v>0</v>
      </c>
      <c r="H31" s="18"/>
    </row>
    <row r="32" spans="1:8" s="4" customFormat="1" ht="13" x14ac:dyDescent="0.3">
      <c r="C32" s="5" t="s">
        <v>64</v>
      </c>
      <c r="D32" s="16"/>
      <c r="E32" s="18"/>
      <c r="F32" s="7">
        <f>SUM(F6:F30)</f>
        <v>0</v>
      </c>
      <c r="G32" s="7">
        <f>SUM(G6:G30)</f>
        <v>0</v>
      </c>
      <c r="H32" s="7">
        <f>SUM(H6:H30)</f>
        <v>0</v>
      </c>
    </row>
    <row r="33" spans="1:8" s="4" customFormat="1" ht="13" x14ac:dyDescent="0.3">
      <c r="C33" s="5" t="s">
        <v>17</v>
      </c>
      <c r="D33" s="16"/>
      <c r="E33" s="42"/>
      <c r="F33" s="31" t="e">
        <f>(F32/(F32+G32+H32))*100</f>
        <v>#DIV/0!</v>
      </c>
      <c r="G33" s="31" t="e">
        <f>(G32/(F32+G32+H32))*100</f>
        <v>#DIV/0!</v>
      </c>
      <c r="H33" s="31" t="e">
        <f>(H32/(F32+G32+H32))*100</f>
        <v>#DIV/0!</v>
      </c>
    </row>
    <row r="34" spans="1:8" s="4" customFormat="1" ht="13" x14ac:dyDescent="0.3">
      <c r="C34" s="5" t="s">
        <v>3</v>
      </c>
      <c r="D34" s="16"/>
      <c r="E34" s="18"/>
      <c r="F34" s="7">
        <f>F32*5</f>
        <v>0</v>
      </c>
      <c r="G34" s="7">
        <f>G32*10</f>
        <v>0</v>
      </c>
      <c r="H34" s="7">
        <f>H32*15</f>
        <v>0</v>
      </c>
    </row>
    <row r="36" spans="1:8" s="4" customFormat="1" ht="13" x14ac:dyDescent="0.3">
      <c r="C36" s="8" t="s">
        <v>35</v>
      </c>
      <c r="D36" s="9"/>
      <c r="E36" s="10"/>
      <c r="F36" s="47"/>
      <c r="G36" s="23">
        <f>SUM(F34:H34)</f>
        <v>0</v>
      </c>
      <c r="H36" s="10"/>
    </row>
    <row r="37" spans="1:8" s="4" customFormat="1" ht="13" x14ac:dyDescent="0.3">
      <c r="C37" s="11" t="s">
        <v>33</v>
      </c>
      <c r="D37" s="12"/>
      <c r="E37" s="13"/>
      <c r="F37" s="45"/>
      <c r="G37" s="24"/>
      <c r="H37" s="13"/>
    </row>
    <row r="39" spans="1:8" s="4" customFormat="1" ht="13" x14ac:dyDescent="0.3">
      <c r="C39" s="8" t="s">
        <v>41</v>
      </c>
      <c r="D39" s="9"/>
      <c r="E39" s="10"/>
      <c r="F39" s="47"/>
      <c r="G39" s="23">
        <f>SUM(atores!F20+G36)</f>
        <v>0</v>
      </c>
      <c r="H39" s="10"/>
    </row>
    <row r="40" spans="1:8" s="4" customFormat="1" ht="13" x14ac:dyDescent="0.3">
      <c r="C40" s="11" t="s">
        <v>36</v>
      </c>
      <c r="D40" s="12"/>
      <c r="E40" s="43"/>
      <c r="F40" s="45"/>
      <c r="G40" s="46"/>
      <c r="H40" s="13"/>
    </row>
    <row r="43" spans="1:8" s="4" customFormat="1" ht="13" x14ac:dyDescent="0.3">
      <c r="A43"/>
      <c r="B43"/>
      <c r="C43"/>
      <c r="D43"/>
      <c r="E43" s="2"/>
      <c r="F43" s="2"/>
      <c r="G43" s="2"/>
      <c r="H43" s="2"/>
    </row>
    <row r="44" spans="1:8" s="4" customFormat="1" ht="13" x14ac:dyDescent="0.3">
      <c r="A44"/>
      <c r="B44"/>
      <c r="C44"/>
      <c r="D44"/>
      <c r="E44" s="2"/>
      <c r="F44" s="2"/>
      <c r="G44" s="2"/>
      <c r="H44" s="2"/>
    </row>
    <row r="45" spans="1:8" s="4" customFormat="1" ht="13" x14ac:dyDescent="0.3">
      <c r="A45"/>
      <c r="B45"/>
      <c r="C45"/>
      <c r="D45"/>
      <c r="E45" s="2"/>
      <c r="F45" s="2"/>
      <c r="G45" s="2"/>
      <c r="H45" s="2"/>
    </row>
    <row r="46" spans="1:8" s="4" customFormat="1" ht="13" x14ac:dyDescent="0.3">
      <c r="A46"/>
      <c r="B46"/>
      <c r="C46"/>
      <c r="D46"/>
      <c r="E46" s="2"/>
      <c r="F46" s="2"/>
      <c r="G46" s="2"/>
      <c r="H46" s="2"/>
    </row>
    <row r="47" spans="1:8" s="4" customFormat="1" ht="13" x14ac:dyDescent="0.3">
      <c r="A47"/>
      <c r="B47"/>
      <c r="C47"/>
      <c r="D47"/>
      <c r="E47" s="2"/>
      <c r="F47" s="2"/>
      <c r="G47" s="2"/>
      <c r="H47" s="2"/>
    </row>
    <row r="48" spans="1:8" s="4" customFormat="1" ht="13" x14ac:dyDescent="0.3">
      <c r="A48"/>
      <c r="B48"/>
      <c r="C48"/>
      <c r="D48"/>
      <c r="E48" s="2"/>
      <c r="F48" s="2"/>
      <c r="G48" s="2"/>
      <c r="H48" s="2"/>
    </row>
    <row r="49" spans="1:8" s="4" customFormat="1" ht="13" x14ac:dyDescent="0.3">
      <c r="A49"/>
      <c r="B49"/>
      <c r="C49"/>
      <c r="D49"/>
      <c r="E49" s="2"/>
      <c r="F49" s="2"/>
      <c r="G49" s="2"/>
      <c r="H49" s="2"/>
    </row>
    <row r="50" spans="1:8" s="4" customFormat="1" ht="13" x14ac:dyDescent="0.3">
      <c r="A50"/>
      <c r="B50"/>
      <c r="C50"/>
      <c r="D50"/>
      <c r="E50" s="2"/>
      <c r="F50" s="2"/>
      <c r="G50" s="2"/>
      <c r="H50" s="2"/>
    </row>
    <row r="52" spans="1:8" s="4" customFormat="1" ht="13" x14ac:dyDescent="0.3">
      <c r="A52"/>
      <c r="B52"/>
      <c r="C52"/>
      <c r="D52"/>
      <c r="E52" s="2"/>
      <c r="F52" s="2"/>
      <c r="G52" s="2"/>
      <c r="H52" s="2"/>
    </row>
  </sheetData>
  <mergeCells count="27">
    <mergeCell ref="A13:D13"/>
    <mergeCell ref="A10:D10"/>
    <mergeCell ref="A25:D25"/>
    <mergeCell ref="A26:D26"/>
    <mergeCell ref="A27:D27"/>
    <mergeCell ref="A19:D19"/>
    <mergeCell ref="A20:D20"/>
    <mergeCell ref="A21:D21"/>
    <mergeCell ref="A22:D22"/>
    <mergeCell ref="A23:D23"/>
    <mergeCell ref="A24:D24"/>
    <mergeCell ref="A30:D30"/>
    <mergeCell ref="A2:H2"/>
    <mergeCell ref="A1:H1"/>
    <mergeCell ref="A6:D6"/>
    <mergeCell ref="A7:D7"/>
    <mergeCell ref="A8:D8"/>
    <mergeCell ref="A9:D9"/>
    <mergeCell ref="A29:D29"/>
    <mergeCell ref="A18:D18"/>
    <mergeCell ref="A28:D28"/>
    <mergeCell ref="A14:D14"/>
    <mergeCell ref="A15:D15"/>
    <mergeCell ref="A16:D16"/>
    <mergeCell ref="A17:D17"/>
    <mergeCell ref="A11:D11"/>
    <mergeCell ref="A12:D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&amp;CPág. &amp;P&amp;RData : &amp;D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2050" r:id="rId4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3</xdr:col>
                <xdr:colOff>31750</xdr:colOff>
                <xdr:row>0</xdr:row>
                <xdr:rowOff>0</xdr:rowOff>
              </to>
            </anchor>
          </objectPr>
        </oleObject>
      </mc:Choice>
      <mc:Fallback>
        <oleObject progId="Word.Picture.8" shapeId="2050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workbookViewId="0">
      <selection activeCell="E8" sqref="E8"/>
    </sheetView>
  </sheetViews>
  <sheetFormatPr defaultRowHeight="12.5" x14ac:dyDescent="0.25"/>
  <cols>
    <col min="4" max="4" width="46.81640625" customWidth="1"/>
    <col min="5" max="5" width="16" style="2" bestFit="1" customWidth="1"/>
    <col min="6" max="6" width="12.1796875" style="2" customWidth="1"/>
    <col min="7" max="7" width="16" style="2" bestFit="1" customWidth="1"/>
    <col min="8" max="8" width="14.81640625" customWidth="1"/>
  </cols>
  <sheetData>
    <row r="1" spans="1:7" s="21" customFormat="1" ht="18" x14ac:dyDescent="0.4">
      <c r="A1" s="69" t="s">
        <v>75</v>
      </c>
      <c r="B1" s="69"/>
      <c r="C1" s="69"/>
      <c r="D1" s="69"/>
      <c r="E1" s="69"/>
      <c r="F1" s="69"/>
      <c r="G1" s="69"/>
    </row>
    <row r="2" spans="1:7" s="1" customFormat="1" ht="15.5" x14ac:dyDescent="0.35">
      <c r="A2" s="70" t="s">
        <v>78</v>
      </c>
      <c r="B2" s="70"/>
      <c r="C2" s="70"/>
      <c r="D2" s="70"/>
      <c r="E2" s="70"/>
      <c r="F2" s="70"/>
      <c r="G2" s="70"/>
    </row>
    <row r="4" spans="1:7" s="1" customFormat="1" ht="15.5" x14ac:dyDescent="0.35">
      <c r="A4" s="32" t="s">
        <v>5</v>
      </c>
      <c r="B4" s="33"/>
      <c r="C4" s="33"/>
      <c r="D4" s="34"/>
      <c r="E4" s="38" t="s">
        <v>19</v>
      </c>
      <c r="F4" s="38" t="s">
        <v>21</v>
      </c>
      <c r="G4" s="38" t="s">
        <v>19</v>
      </c>
    </row>
    <row r="5" spans="1:7" s="1" customFormat="1" ht="15.5" x14ac:dyDescent="0.35">
      <c r="A5" s="35"/>
      <c r="B5" s="36"/>
      <c r="C5" s="36"/>
      <c r="D5" s="37"/>
      <c r="E5" s="39" t="s">
        <v>20</v>
      </c>
      <c r="F5" s="39" t="s">
        <v>22</v>
      </c>
      <c r="G5" s="39" t="s">
        <v>28</v>
      </c>
    </row>
    <row r="6" spans="1:7" ht="13" x14ac:dyDescent="0.3">
      <c r="A6" s="5" t="s">
        <v>44</v>
      </c>
      <c r="B6" s="16"/>
      <c r="C6" s="16"/>
      <c r="D6" s="6"/>
      <c r="E6" s="3">
        <v>0</v>
      </c>
      <c r="F6" s="7">
        <v>2</v>
      </c>
      <c r="G6" s="7">
        <f>E6*F6</f>
        <v>0</v>
      </c>
    </row>
    <row r="7" spans="1:7" ht="13" x14ac:dyDescent="0.3">
      <c r="A7" s="5" t="s">
        <v>45</v>
      </c>
      <c r="B7" s="16"/>
      <c r="C7" s="16"/>
      <c r="D7" s="6"/>
      <c r="E7" s="3">
        <v>0</v>
      </c>
      <c r="F7" s="7">
        <v>1</v>
      </c>
      <c r="G7" s="7">
        <f t="shared" ref="G7:G18" si="0">E7*F7</f>
        <v>0</v>
      </c>
    </row>
    <row r="8" spans="1:7" ht="13" x14ac:dyDescent="0.3">
      <c r="A8" s="5" t="s">
        <v>46</v>
      </c>
      <c r="B8" s="16"/>
      <c r="C8" s="16"/>
      <c r="D8" s="6"/>
      <c r="E8" s="3">
        <v>0</v>
      </c>
      <c r="F8" s="7">
        <v>1</v>
      </c>
      <c r="G8" s="7">
        <f t="shared" si="0"/>
        <v>0</v>
      </c>
    </row>
    <row r="9" spans="1:7" ht="13" x14ac:dyDescent="0.3">
      <c r="A9" s="5" t="s">
        <v>47</v>
      </c>
      <c r="B9" s="16"/>
      <c r="C9" s="16"/>
      <c r="D9" s="6"/>
      <c r="E9" s="3">
        <v>0</v>
      </c>
      <c r="F9" s="7">
        <v>1</v>
      </c>
      <c r="G9" s="7">
        <f t="shared" si="0"/>
        <v>0</v>
      </c>
    </row>
    <row r="10" spans="1:7" ht="13" x14ac:dyDescent="0.3">
      <c r="A10" s="5" t="s">
        <v>48</v>
      </c>
      <c r="B10" s="16"/>
      <c r="C10" s="16"/>
      <c r="D10" s="6"/>
      <c r="E10" s="3">
        <v>0</v>
      </c>
      <c r="F10" s="7">
        <v>1</v>
      </c>
      <c r="G10" s="7">
        <f t="shared" si="0"/>
        <v>0</v>
      </c>
    </row>
    <row r="11" spans="1:7" ht="13" x14ac:dyDescent="0.3">
      <c r="A11" s="5" t="s">
        <v>49</v>
      </c>
      <c r="B11" s="16"/>
      <c r="C11" s="16"/>
      <c r="D11" s="6"/>
      <c r="E11" s="3">
        <v>0</v>
      </c>
      <c r="F11" s="7">
        <v>0.5</v>
      </c>
      <c r="G11" s="7">
        <f t="shared" si="0"/>
        <v>0</v>
      </c>
    </row>
    <row r="12" spans="1:7" ht="13" x14ac:dyDescent="0.3">
      <c r="A12" s="5" t="s">
        <v>50</v>
      </c>
      <c r="B12" s="16"/>
      <c r="C12" s="16"/>
      <c r="D12" s="6"/>
      <c r="E12" s="3">
        <v>0</v>
      </c>
      <c r="F12" s="7">
        <v>0.5</v>
      </c>
      <c r="G12" s="7">
        <f t="shared" si="0"/>
        <v>0</v>
      </c>
    </row>
    <row r="13" spans="1:7" ht="13" x14ac:dyDescent="0.3">
      <c r="A13" s="5" t="s">
        <v>51</v>
      </c>
      <c r="B13" s="16"/>
      <c r="C13" s="16"/>
      <c r="D13" s="6"/>
      <c r="E13" s="3">
        <v>0</v>
      </c>
      <c r="F13" s="7">
        <v>2</v>
      </c>
      <c r="G13" s="7">
        <f t="shared" si="0"/>
        <v>0</v>
      </c>
    </row>
    <row r="14" spans="1:7" ht="13" x14ac:dyDescent="0.3">
      <c r="A14" s="5" t="s">
        <v>18</v>
      </c>
      <c r="B14" s="16"/>
      <c r="C14" s="16"/>
      <c r="D14" s="6"/>
      <c r="E14" s="3">
        <v>0</v>
      </c>
      <c r="F14" s="7">
        <v>1</v>
      </c>
      <c r="G14" s="7">
        <f t="shared" si="0"/>
        <v>0</v>
      </c>
    </row>
    <row r="15" spans="1:7" ht="13" x14ac:dyDescent="0.3">
      <c r="A15" s="5" t="s">
        <v>52</v>
      </c>
      <c r="B15" s="16"/>
      <c r="C15" s="16"/>
      <c r="D15" s="6"/>
      <c r="E15" s="3">
        <v>0</v>
      </c>
      <c r="F15" s="7">
        <v>1</v>
      </c>
      <c r="G15" s="7">
        <f t="shared" si="0"/>
        <v>0</v>
      </c>
    </row>
    <row r="16" spans="1:7" ht="13" x14ac:dyDescent="0.3">
      <c r="A16" s="5" t="s">
        <v>53</v>
      </c>
      <c r="B16" s="16"/>
      <c r="C16" s="16"/>
      <c r="D16" s="6"/>
      <c r="E16" s="3">
        <v>0</v>
      </c>
      <c r="F16" s="7">
        <v>1</v>
      </c>
      <c r="G16" s="7">
        <f t="shared" si="0"/>
        <v>0</v>
      </c>
    </row>
    <row r="17" spans="1:8" ht="13" x14ac:dyDescent="0.3">
      <c r="A17" s="5" t="s">
        <v>54</v>
      </c>
      <c r="B17" s="16"/>
      <c r="C17" s="16"/>
      <c r="D17" s="6"/>
      <c r="E17" s="3">
        <v>0</v>
      </c>
      <c r="F17" s="7">
        <v>1</v>
      </c>
      <c r="G17" s="7">
        <f t="shared" si="0"/>
        <v>0</v>
      </c>
    </row>
    <row r="18" spans="1:8" ht="13" x14ac:dyDescent="0.3">
      <c r="A18" s="5" t="s">
        <v>55</v>
      </c>
      <c r="B18" s="16"/>
      <c r="C18" s="16"/>
      <c r="D18" s="6"/>
      <c r="E18" s="3">
        <v>0</v>
      </c>
      <c r="F18" s="7">
        <v>1</v>
      </c>
      <c r="G18" s="7">
        <f t="shared" si="0"/>
        <v>0</v>
      </c>
    </row>
    <row r="19" spans="1:8" s="4" customFormat="1" ht="13" x14ac:dyDescent="0.3">
      <c r="C19" s="5" t="s">
        <v>29</v>
      </c>
      <c r="D19" s="16"/>
      <c r="E19" s="17"/>
      <c r="F19" s="18"/>
      <c r="G19" s="7">
        <f>SUM(G6:G18)</f>
        <v>0</v>
      </c>
    </row>
    <row r="20" spans="1:8" s="4" customFormat="1" ht="13" x14ac:dyDescent="0.3">
      <c r="C20" s="5" t="s">
        <v>24</v>
      </c>
      <c r="D20" s="16"/>
      <c r="E20" s="17"/>
      <c r="F20" s="18"/>
      <c r="G20" s="7">
        <f>0.6+(0.01*G19)</f>
        <v>0.6</v>
      </c>
    </row>
    <row r="21" spans="1:8" x14ac:dyDescent="0.25">
      <c r="H21" s="2"/>
    </row>
  </sheetData>
  <mergeCells count="2">
    <mergeCell ref="A1:G1"/>
    <mergeCell ref="A2:G2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verticalDpi="0" r:id="rId1"/>
  <headerFooter alignWithMargins="0">
    <oddFooter>&amp;CPág. &amp;P&amp;RData : &amp;D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3073" r:id="rId4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2</xdr:col>
                <xdr:colOff>361950</xdr:colOff>
                <xdr:row>0</xdr:row>
                <xdr:rowOff>0</xdr:rowOff>
              </to>
            </anchor>
          </objectPr>
        </oleObject>
      </mc:Choice>
      <mc:Fallback>
        <oleObject progId="Word.Picture.8" shapeId="3073" r:id="rId4"/>
      </mc:Fallback>
    </mc:AlternateContent>
    <mc:AlternateContent xmlns:mc="http://schemas.openxmlformats.org/markup-compatibility/2006">
      <mc:Choice Requires="x14">
        <oleObject progId="Word.Picture.8" shapeId="3074" r:id="rId6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3</xdr:col>
                <xdr:colOff>31750</xdr:colOff>
                <xdr:row>0</xdr:row>
                <xdr:rowOff>0</xdr:rowOff>
              </to>
            </anchor>
          </objectPr>
        </oleObject>
      </mc:Choice>
      <mc:Fallback>
        <oleObject progId="Word.Picture.8" shapeId="3074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tabSelected="1" topLeftCell="A2" workbookViewId="0">
      <selection activeCell="D18" sqref="D18"/>
    </sheetView>
  </sheetViews>
  <sheetFormatPr defaultRowHeight="12.5" x14ac:dyDescent="0.25"/>
  <cols>
    <col min="4" max="4" width="62.54296875" customWidth="1"/>
    <col min="5" max="5" width="16" style="2" bestFit="1" customWidth="1"/>
    <col min="6" max="6" width="12.26953125" style="2" customWidth="1"/>
    <col min="7" max="7" width="16.54296875" style="2" customWidth="1"/>
    <col min="8" max="8" width="14.81640625" customWidth="1"/>
  </cols>
  <sheetData>
    <row r="1" spans="1:8" s="21" customFormat="1" ht="18" x14ac:dyDescent="0.4">
      <c r="A1" s="69" t="s">
        <v>75</v>
      </c>
      <c r="B1" s="69"/>
      <c r="C1" s="69"/>
      <c r="D1" s="69"/>
      <c r="E1" s="69"/>
      <c r="F1" s="69"/>
      <c r="G1" s="69"/>
    </row>
    <row r="2" spans="1:8" s="1" customFormat="1" ht="15.5" x14ac:dyDescent="0.35">
      <c r="A2" s="70" t="s">
        <v>79</v>
      </c>
      <c r="B2" s="70"/>
      <c r="C2" s="70"/>
      <c r="D2" s="70"/>
      <c r="E2" s="70"/>
      <c r="F2" s="70"/>
      <c r="G2" s="70"/>
    </row>
    <row r="4" spans="1:8" s="1" customFormat="1" ht="15.5" x14ac:dyDescent="0.35">
      <c r="A4" s="32" t="s">
        <v>6</v>
      </c>
      <c r="B4" s="33"/>
      <c r="C4" s="33"/>
      <c r="D4" s="34"/>
      <c r="E4" s="38" t="s">
        <v>19</v>
      </c>
      <c r="F4" s="38" t="s">
        <v>21</v>
      </c>
      <c r="G4" s="38" t="s">
        <v>19</v>
      </c>
    </row>
    <row r="5" spans="1:8" s="1" customFormat="1" ht="15.5" x14ac:dyDescent="0.35">
      <c r="A5" s="35"/>
      <c r="B5" s="36"/>
      <c r="C5" s="36"/>
      <c r="D5" s="37"/>
      <c r="E5" s="39" t="s">
        <v>20</v>
      </c>
      <c r="F5" s="39" t="s">
        <v>22</v>
      </c>
      <c r="G5" s="39" t="s">
        <v>28</v>
      </c>
    </row>
    <row r="6" spans="1:8" ht="13" x14ac:dyDescent="0.3">
      <c r="A6" s="5" t="s">
        <v>98</v>
      </c>
      <c r="B6" s="16"/>
      <c r="C6" s="16"/>
      <c r="D6" s="6"/>
      <c r="E6" s="3">
        <v>0</v>
      </c>
      <c r="F6" s="7">
        <v>1.5</v>
      </c>
      <c r="G6" s="7">
        <f>E6*F6</f>
        <v>0</v>
      </c>
    </row>
    <row r="7" spans="1:8" ht="13" x14ac:dyDescent="0.3">
      <c r="A7" s="5" t="s">
        <v>56</v>
      </c>
      <c r="B7" s="16"/>
      <c r="C7" s="16"/>
      <c r="D7" s="6"/>
      <c r="E7" s="3">
        <v>0</v>
      </c>
      <c r="F7" s="7">
        <v>0.5</v>
      </c>
      <c r="G7" s="7">
        <f t="shared" ref="G7:G13" si="0">E7*F7</f>
        <v>0</v>
      </c>
    </row>
    <row r="8" spans="1:8" ht="13" x14ac:dyDescent="0.3">
      <c r="A8" s="5" t="s">
        <v>99</v>
      </c>
      <c r="B8" s="16"/>
      <c r="C8" s="16"/>
      <c r="D8" s="6"/>
      <c r="E8" s="3">
        <v>0</v>
      </c>
      <c r="F8" s="7">
        <v>1</v>
      </c>
      <c r="G8" s="7">
        <f t="shared" si="0"/>
        <v>0</v>
      </c>
    </row>
    <row r="9" spans="1:8" ht="13" x14ac:dyDescent="0.3">
      <c r="A9" s="5" t="s">
        <v>26</v>
      </c>
      <c r="B9" s="16"/>
      <c r="C9" s="16"/>
      <c r="D9" s="6"/>
      <c r="E9" s="3">
        <v>0</v>
      </c>
      <c r="F9" s="7">
        <v>0.5</v>
      </c>
      <c r="G9" s="7">
        <f t="shared" si="0"/>
        <v>0</v>
      </c>
    </row>
    <row r="10" spans="1:8" ht="13" x14ac:dyDescent="0.3">
      <c r="A10" s="5" t="s">
        <v>57</v>
      </c>
      <c r="B10" s="16"/>
      <c r="C10" s="16"/>
      <c r="D10" s="6"/>
      <c r="E10" s="3">
        <v>0</v>
      </c>
      <c r="F10" s="7">
        <v>1</v>
      </c>
      <c r="G10" s="7">
        <f t="shared" si="0"/>
        <v>0</v>
      </c>
    </row>
    <row r="11" spans="1:8" ht="13" x14ac:dyDescent="0.3">
      <c r="A11" s="5" t="s">
        <v>25</v>
      </c>
      <c r="B11" s="16"/>
      <c r="C11" s="16"/>
      <c r="D11" s="6"/>
      <c r="E11" s="3">
        <v>0</v>
      </c>
      <c r="F11" s="7">
        <v>2</v>
      </c>
      <c r="G11" s="7">
        <f t="shared" si="0"/>
        <v>0</v>
      </c>
    </row>
    <row r="12" spans="1:8" ht="13" x14ac:dyDescent="0.3">
      <c r="A12" s="5" t="s">
        <v>58</v>
      </c>
      <c r="B12" s="16"/>
      <c r="C12" s="16"/>
      <c r="D12" s="6"/>
      <c r="E12" s="3">
        <v>0</v>
      </c>
      <c r="F12" s="7">
        <v>-1</v>
      </c>
      <c r="G12" s="7">
        <f t="shared" si="0"/>
        <v>0</v>
      </c>
    </row>
    <row r="13" spans="1:8" ht="13" x14ac:dyDescent="0.3">
      <c r="A13" s="5" t="s">
        <v>59</v>
      </c>
      <c r="B13" s="16"/>
      <c r="C13" s="16"/>
      <c r="D13" s="6"/>
      <c r="E13" s="3">
        <v>0</v>
      </c>
      <c r="F13" s="7">
        <v>-1</v>
      </c>
      <c r="G13" s="7">
        <f t="shared" si="0"/>
        <v>0</v>
      </c>
    </row>
    <row r="14" spans="1:8" s="4" customFormat="1" ht="13" x14ac:dyDescent="0.3">
      <c r="C14" s="5" t="s">
        <v>29</v>
      </c>
      <c r="D14" s="16"/>
      <c r="E14" s="17"/>
      <c r="F14" s="18"/>
      <c r="G14" s="7">
        <f>SUM(G6:G13)</f>
        <v>0</v>
      </c>
    </row>
    <row r="15" spans="1:8" s="4" customFormat="1" ht="13" x14ac:dyDescent="0.3">
      <c r="C15" s="5" t="s">
        <v>27</v>
      </c>
      <c r="D15" s="16"/>
      <c r="E15" s="17"/>
      <c r="F15" s="18"/>
      <c r="G15" s="7">
        <f>1.4+(-0.03*G14)</f>
        <v>1.4</v>
      </c>
    </row>
    <row r="16" spans="1:8" x14ac:dyDescent="0.25">
      <c r="H16" s="2"/>
    </row>
  </sheetData>
  <mergeCells count="2">
    <mergeCell ref="A1:G1"/>
    <mergeCell ref="A2:G2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verticalDpi="0" r:id="rId1"/>
  <headerFooter alignWithMargins="0">
    <oddFooter>&amp;CPág. &amp;P&amp;RData : &amp;D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4097" r:id="rId4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2</xdr:col>
                <xdr:colOff>361950</xdr:colOff>
                <xdr:row>0</xdr:row>
                <xdr:rowOff>0</xdr:rowOff>
              </to>
            </anchor>
          </objectPr>
        </oleObject>
      </mc:Choice>
      <mc:Fallback>
        <oleObject progId="Word.Picture.8" shapeId="4097" r:id="rId4"/>
      </mc:Fallback>
    </mc:AlternateContent>
    <mc:AlternateContent xmlns:mc="http://schemas.openxmlformats.org/markup-compatibility/2006">
      <mc:Choice Requires="x14">
        <oleObject progId="Word.Picture.8" shapeId="4098" r:id="rId6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2</xdr:col>
                <xdr:colOff>361950</xdr:colOff>
                <xdr:row>0</xdr:row>
                <xdr:rowOff>0</xdr:rowOff>
              </to>
            </anchor>
          </objectPr>
        </oleObject>
      </mc:Choice>
      <mc:Fallback>
        <oleObject progId="Word.Picture.8" shapeId="4098" r:id="rId6"/>
      </mc:Fallback>
    </mc:AlternateContent>
    <mc:AlternateContent xmlns:mc="http://schemas.openxmlformats.org/markup-compatibility/2006">
      <mc:Choice Requires="x14">
        <oleObject progId="Word.Picture.8" shapeId="4099" r:id="rId7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3</xdr:col>
                <xdr:colOff>31750</xdr:colOff>
                <xdr:row>0</xdr:row>
                <xdr:rowOff>0</xdr:rowOff>
              </to>
            </anchor>
          </objectPr>
        </oleObject>
      </mc:Choice>
      <mc:Fallback>
        <oleObject progId="Word.Picture.8" shapeId="4099" r:id="rId7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workbookViewId="0">
      <selection activeCell="I22" sqref="I22"/>
    </sheetView>
  </sheetViews>
  <sheetFormatPr defaultRowHeight="12.5" x14ac:dyDescent="0.25"/>
  <cols>
    <col min="1" max="1" width="15.7265625" customWidth="1"/>
    <col min="2" max="2" width="18.453125" customWidth="1"/>
    <col min="3" max="3" width="16.453125" customWidth="1"/>
    <col min="4" max="4" width="21" customWidth="1"/>
    <col min="5" max="5" width="13.81640625" customWidth="1"/>
    <col min="6" max="6" width="6.1796875" hidden="1" customWidth="1"/>
    <col min="7" max="7" width="11.26953125" bestFit="1" customWidth="1"/>
    <col min="8" max="8" width="13.453125" customWidth="1"/>
    <col min="9" max="9" width="13.1796875" bestFit="1" customWidth="1"/>
    <col min="10" max="10" width="34.90625" bestFit="1" customWidth="1"/>
  </cols>
  <sheetData>
    <row r="1" spans="1:10" s="21" customFormat="1" ht="18" x14ac:dyDescent="0.4">
      <c r="A1" s="69" t="s">
        <v>75</v>
      </c>
      <c r="B1" s="69"/>
      <c r="C1" s="69"/>
      <c r="D1" s="69"/>
      <c r="E1" s="69"/>
      <c r="F1" s="22"/>
    </row>
    <row r="2" spans="1:10" s="1" customFormat="1" ht="15.5" x14ac:dyDescent="0.35">
      <c r="A2" s="70" t="s">
        <v>61</v>
      </c>
      <c r="B2" s="70"/>
      <c r="C2" s="70"/>
      <c r="D2" s="70"/>
      <c r="E2" s="70"/>
      <c r="F2" s="30"/>
    </row>
    <row r="3" spans="1:10" x14ac:dyDescent="0.25">
      <c r="D3" s="2"/>
      <c r="E3" s="2"/>
      <c r="F3" s="2"/>
    </row>
    <row r="4" spans="1:10" ht="13" x14ac:dyDescent="0.3">
      <c r="A4" s="5" t="s">
        <v>42</v>
      </c>
      <c r="B4" s="16"/>
      <c r="C4" s="17"/>
      <c r="D4" s="19"/>
      <c r="E4" s="7">
        <f>casos_de_uso!G39</f>
        <v>0</v>
      </c>
    </row>
    <row r="5" spans="1:10" s="4" customFormat="1" ht="13" x14ac:dyDescent="0.3">
      <c r="A5" s="5" t="s">
        <v>23</v>
      </c>
      <c r="B5" s="16"/>
      <c r="C5" s="17"/>
      <c r="D5" s="18"/>
      <c r="E5" s="7">
        <f>fatores_tecnicos!G20</f>
        <v>0.6</v>
      </c>
    </row>
    <row r="6" spans="1:10" s="4" customFormat="1" ht="13" x14ac:dyDescent="0.3">
      <c r="A6" s="5" t="s">
        <v>31</v>
      </c>
      <c r="B6" s="16"/>
      <c r="C6" s="17"/>
      <c r="D6" s="18"/>
      <c r="E6" s="7">
        <f>fatores_ambientais!G15</f>
        <v>1.4</v>
      </c>
    </row>
    <row r="7" spans="1:10" s="4" customFormat="1" ht="13" x14ac:dyDescent="0.3">
      <c r="A7" s="5" t="s">
        <v>43</v>
      </c>
      <c r="B7" s="16"/>
      <c r="C7" s="17"/>
      <c r="D7" s="18"/>
      <c r="E7" s="31">
        <f>E4*E5*E6</f>
        <v>0</v>
      </c>
    </row>
    <row r="9" spans="1:10" ht="13" x14ac:dyDescent="0.3">
      <c r="A9" s="5" t="s">
        <v>30</v>
      </c>
      <c r="B9" s="16"/>
      <c r="C9" s="17"/>
      <c r="D9" s="18"/>
      <c r="E9" s="29">
        <f>E7*F17</f>
        <v>0</v>
      </c>
      <c r="F9">
        <f>IF(fatores_ambientais!E6 &lt; 3,1,0)</f>
        <v>1</v>
      </c>
    </row>
    <row r="10" spans="1:10" x14ac:dyDescent="0.25">
      <c r="F10">
        <f>IF(fatores_ambientais!E7 &lt; 3,1,0)</f>
        <v>1</v>
      </c>
    </row>
    <row r="11" spans="1:10" ht="13" x14ac:dyDescent="0.3">
      <c r="A11" s="5"/>
      <c r="B11" s="16" t="s">
        <v>32</v>
      </c>
      <c r="C11" s="17"/>
      <c r="D11" s="17"/>
      <c r="E11" s="18"/>
      <c r="F11">
        <f>IF(fatores_ambientais!E9&lt; 3,1,0)</f>
        <v>1</v>
      </c>
    </row>
    <row r="12" spans="1:10" ht="13" x14ac:dyDescent="0.3">
      <c r="A12" s="5" t="s">
        <v>11</v>
      </c>
      <c r="B12" s="16"/>
      <c r="C12" s="18"/>
      <c r="D12" s="7" t="s">
        <v>60</v>
      </c>
      <c r="E12" s="7" t="s">
        <v>12</v>
      </c>
      <c r="F12">
        <f>IF(fatores_ambientais!E10 &lt; 3,1,0)</f>
        <v>1</v>
      </c>
      <c r="I12" s="60" t="s">
        <v>86</v>
      </c>
      <c r="J12" s="60" t="s">
        <v>87</v>
      </c>
    </row>
    <row r="13" spans="1:10" x14ac:dyDescent="0.25">
      <c r="A13" s="25" t="s">
        <v>7</v>
      </c>
      <c r="B13" s="26"/>
      <c r="C13" s="27"/>
      <c r="D13" s="28">
        <v>5</v>
      </c>
      <c r="E13" s="41">
        <f>(E9*D13)/100</f>
        <v>0</v>
      </c>
      <c r="F13">
        <f>IF(fatores_ambientais!E11 &lt; 3,1,0)</f>
        <v>1</v>
      </c>
      <c r="I13" s="58">
        <f>ROUNDUP(I14*0.6,0)</f>
        <v>540</v>
      </c>
      <c r="J13" s="58" t="s">
        <v>93</v>
      </c>
    </row>
    <row r="14" spans="1:10" ht="13" x14ac:dyDescent="0.3">
      <c r="A14" s="25" t="s">
        <v>8</v>
      </c>
      <c r="B14" s="26"/>
      <c r="C14" s="27"/>
      <c r="D14" s="28">
        <v>35</v>
      </c>
      <c r="E14" s="41">
        <f>(E9*D14)/100</f>
        <v>0</v>
      </c>
      <c r="F14">
        <f>IF(fatores_ambientais!E12 &gt; 3,1,0)</f>
        <v>0</v>
      </c>
      <c r="G14" s="7" t="s">
        <v>91</v>
      </c>
      <c r="I14" s="59">
        <f>D15*G15</f>
        <v>900</v>
      </c>
      <c r="J14" s="58" t="s">
        <v>85</v>
      </c>
    </row>
    <row r="15" spans="1:10" x14ac:dyDescent="0.25">
      <c r="A15" s="25" t="s">
        <v>9</v>
      </c>
      <c r="B15" s="26"/>
      <c r="C15" s="27"/>
      <c r="D15" s="28">
        <v>50</v>
      </c>
      <c r="E15" s="41">
        <f>(E9*D15)/100</f>
        <v>0</v>
      </c>
      <c r="F15">
        <f>IF(fatores_ambientais!E13 &gt; 3,1,0)</f>
        <v>0</v>
      </c>
      <c r="G15">
        <v>18</v>
      </c>
      <c r="I15" s="58">
        <f>ROUNDUP(I14*0.2,0)</f>
        <v>180</v>
      </c>
      <c r="J15" s="58" t="s">
        <v>94</v>
      </c>
    </row>
    <row r="16" spans="1:10" ht="13" x14ac:dyDescent="0.3">
      <c r="A16" s="25" t="s">
        <v>10</v>
      </c>
      <c r="B16" s="26"/>
      <c r="C16" s="27"/>
      <c r="D16" s="28">
        <v>10</v>
      </c>
      <c r="E16" s="41">
        <f>(E9*D16)/100</f>
        <v>0</v>
      </c>
      <c r="F16">
        <f>SUM(F9:F15)</f>
        <v>5</v>
      </c>
      <c r="G16" s="7" t="s">
        <v>92</v>
      </c>
      <c r="I16" s="58">
        <f>ROUNDUP(I14*0.2,0)</f>
        <v>180</v>
      </c>
      <c r="J16" s="58" t="s">
        <v>95</v>
      </c>
    </row>
    <row r="17" spans="1:10" ht="13" x14ac:dyDescent="0.3">
      <c r="C17" s="7" t="s">
        <v>13</v>
      </c>
      <c r="D17" s="7">
        <f>SUM(D13:D16)</f>
        <v>100</v>
      </c>
      <c r="E17" s="31">
        <f>SUM(E13:E16)</f>
        <v>0</v>
      </c>
      <c r="F17">
        <v>17</v>
      </c>
      <c r="G17" s="61">
        <v>135</v>
      </c>
      <c r="I17" s="67">
        <f>SUM(I13:I16)</f>
        <v>1800</v>
      </c>
      <c r="J17" s="68" t="s">
        <v>96</v>
      </c>
    </row>
    <row r="18" spans="1:10" ht="13" x14ac:dyDescent="0.3">
      <c r="F18" s="62" t="s">
        <v>90</v>
      </c>
      <c r="I18" s="66">
        <v>2</v>
      </c>
      <c r="J18" s="64" t="s">
        <v>89</v>
      </c>
    </row>
    <row r="19" spans="1:10" ht="13" x14ac:dyDescent="0.3">
      <c r="A19" s="5"/>
      <c r="B19" s="16" t="s">
        <v>67</v>
      </c>
      <c r="C19" s="17"/>
      <c r="D19" s="17"/>
      <c r="E19" s="18"/>
      <c r="F19" t="e">
        <f>IF(fatores_ambientais!#REF!&lt; 3,1,0)</f>
        <v>#REF!</v>
      </c>
      <c r="I19" s="65">
        <f>ROUNDUP(I17/I18/7,0)</f>
        <v>129</v>
      </c>
      <c r="J19" s="64" t="s">
        <v>97</v>
      </c>
    </row>
    <row r="20" spans="1:10" ht="13" x14ac:dyDescent="0.3">
      <c r="A20" s="5" t="s">
        <v>65</v>
      </c>
      <c r="B20" s="16"/>
      <c r="C20" s="17"/>
      <c r="D20" s="7" t="s">
        <v>70</v>
      </c>
      <c r="E20" s="7" t="s">
        <v>9</v>
      </c>
      <c r="F20" t="e">
        <f>IF(fatores_ambientais!#REF! &lt; 3,1,0)</f>
        <v>#REF!</v>
      </c>
      <c r="I20" s="63">
        <f>I17*G17</f>
        <v>243000</v>
      </c>
      <c r="J20" s="64" t="s">
        <v>88</v>
      </c>
    </row>
    <row r="21" spans="1:10" ht="13" x14ac:dyDescent="0.3">
      <c r="A21" s="48" t="s">
        <v>66</v>
      </c>
      <c r="B21" s="49"/>
      <c r="C21" s="50"/>
      <c r="D21" s="51" t="e">
        <f>(((casos_de_uso!F34)*E5*E6)*F17)/casos_de_uso!F32</f>
        <v>#DIV/0!</v>
      </c>
      <c r="E21" s="51" t="e">
        <f>(((((casos_de_uso!F34)*E5*E6)*F17)/casos_de_uso!F32)*D15)/100</f>
        <v>#DIV/0!</v>
      </c>
    </row>
    <row r="22" spans="1:10" ht="13" x14ac:dyDescent="0.3">
      <c r="A22" s="48" t="s">
        <v>68</v>
      </c>
      <c r="B22" s="49"/>
      <c r="C22" s="50"/>
      <c r="D22" s="51" t="e">
        <f>(((casos_de_uso!G34)*E5*E6)*F17)/casos_de_uso!G32</f>
        <v>#DIV/0!</v>
      </c>
      <c r="E22" s="51" t="e">
        <f>(((((casos_de_uso!G34)*E5*E6)*F17)/casos_de_uso!G32)*D15)/100</f>
        <v>#DIV/0!</v>
      </c>
    </row>
    <row r="23" spans="1:10" ht="13" x14ac:dyDescent="0.3">
      <c r="A23" s="48" t="s">
        <v>69</v>
      </c>
      <c r="B23" s="49"/>
      <c r="C23" s="50"/>
      <c r="D23" s="51" t="e">
        <f>(((casos_de_uso!H34)*E5*E6)*F17)/casos_de_uso!H32</f>
        <v>#DIV/0!</v>
      </c>
      <c r="E23" s="51" t="e">
        <f>(((((casos_de_uso!H34)*E5*E6)*F17)/casos_de_uso!H32)*D15)/100</f>
        <v>#DIV/0!</v>
      </c>
    </row>
  </sheetData>
  <mergeCells count="2">
    <mergeCell ref="A1:E1"/>
    <mergeCell ref="A2:E2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819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209550</xdr:colOff>
                <xdr:row>0</xdr:row>
                <xdr:rowOff>0</xdr:rowOff>
              </to>
            </anchor>
          </objectPr>
        </oleObject>
      </mc:Choice>
      <mc:Fallback>
        <oleObject progId="Word.Picture.8" shapeId="8193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showGridLines="0" workbookViewId="0">
      <selection activeCell="G5" sqref="G5"/>
    </sheetView>
  </sheetViews>
  <sheetFormatPr defaultRowHeight="12.5" x14ac:dyDescent="0.25"/>
  <cols>
    <col min="1" max="1" width="4.81640625" customWidth="1"/>
    <col min="2" max="2" width="5.7265625" customWidth="1"/>
    <col min="3" max="3" width="13.26953125" customWidth="1"/>
    <col min="4" max="4" width="49.453125" customWidth="1"/>
    <col min="5" max="5" width="11.54296875" style="2" bestFit="1" customWidth="1"/>
    <col min="6" max="6" width="12.453125" style="2" customWidth="1"/>
    <col min="7" max="7" width="15.26953125" style="2" customWidth="1"/>
  </cols>
  <sheetData>
    <row r="1" spans="1:7" s="21" customFormat="1" ht="18" x14ac:dyDescent="0.4">
      <c r="A1" s="69" t="s">
        <v>75</v>
      </c>
      <c r="B1" s="69"/>
      <c r="C1" s="69"/>
      <c r="D1" s="69"/>
      <c r="E1" s="69"/>
      <c r="F1" s="69"/>
      <c r="G1" s="69"/>
    </row>
    <row r="2" spans="1:7" s="1" customFormat="1" ht="15.5" x14ac:dyDescent="0.35">
      <c r="A2" s="70" t="s">
        <v>77</v>
      </c>
      <c r="B2" s="70"/>
      <c r="C2" s="70"/>
      <c r="D2" s="70"/>
      <c r="E2" s="70"/>
      <c r="F2" s="70"/>
      <c r="G2" s="70"/>
    </row>
    <row r="3" spans="1:7" ht="25.5" customHeight="1" x14ac:dyDescent="0.25"/>
    <row r="4" spans="1:7" s="57" customFormat="1" ht="31.5" customHeight="1" x14ac:dyDescent="0.25">
      <c r="A4" s="77" t="s">
        <v>4</v>
      </c>
      <c r="B4" s="78"/>
      <c r="C4" s="78"/>
      <c r="D4" s="79"/>
      <c r="E4" s="56" t="s">
        <v>81</v>
      </c>
      <c r="F4" s="56" t="s">
        <v>82</v>
      </c>
      <c r="G4" s="56" t="s">
        <v>83</v>
      </c>
    </row>
    <row r="5" spans="1:7" ht="13" x14ac:dyDescent="0.3">
      <c r="A5" s="71"/>
      <c r="B5" s="72"/>
      <c r="C5" s="72"/>
      <c r="D5" s="73"/>
      <c r="E5" s="7"/>
      <c r="F5" s="7"/>
      <c r="G5" s="7" t="e">
        <f>E5/F5</f>
        <v>#DIV/0!</v>
      </c>
    </row>
    <row r="6" spans="1:7" ht="13" x14ac:dyDescent="0.3">
      <c r="A6" s="71"/>
      <c r="B6" s="72"/>
      <c r="C6" s="72"/>
      <c r="D6" s="73"/>
      <c r="E6" s="7"/>
      <c r="F6" s="7"/>
      <c r="G6" s="7" t="e">
        <f>E6/F6</f>
        <v>#DIV/0!</v>
      </c>
    </row>
    <row r="7" spans="1:7" ht="13" x14ac:dyDescent="0.3">
      <c r="A7" s="71"/>
      <c r="B7" s="72"/>
      <c r="C7" s="72"/>
      <c r="D7" s="73"/>
      <c r="E7" s="7"/>
      <c r="F7" s="7"/>
      <c r="G7" s="7" t="e">
        <f>E7/F7</f>
        <v>#DIV/0!</v>
      </c>
    </row>
    <row r="8" spans="1:7" ht="13" x14ac:dyDescent="0.3">
      <c r="A8" s="71"/>
      <c r="B8" s="72"/>
      <c r="C8" s="72"/>
      <c r="D8" s="73"/>
      <c r="E8" s="7"/>
      <c r="F8" s="7"/>
      <c r="G8" s="7" t="e">
        <f>E8/F8</f>
        <v>#DIV/0!</v>
      </c>
    </row>
    <row r="9" spans="1:7" ht="13" x14ac:dyDescent="0.3">
      <c r="A9" s="2"/>
      <c r="B9" s="2"/>
      <c r="C9" s="2"/>
      <c r="D9" s="7" t="s">
        <v>84</v>
      </c>
      <c r="E9" s="7">
        <f>SUM(E5:E8)</f>
        <v>0</v>
      </c>
      <c r="F9" s="7">
        <f>SUM(F5:F8)</f>
        <v>0</v>
      </c>
      <c r="G9" s="7" t="e">
        <f>E9/F9</f>
        <v>#DIV/0!</v>
      </c>
    </row>
    <row r="12" spans="1:7" s="4" customFormat="1" ht="13" x14ac:dyDescent="0.3">
      <c r="A12"/>
      <c r="B12"/>
      <c r="C12"/>
      <c r="D12"/>
      <c r="E12" s="2"/>
      <c r="F12" s="2"/>
      <c r="G12" s="2"/>
    </row>
    <row r="13" spans="1:7" s="4" customFormat="1" ht="13" x14ac:dyDescent="0.3">
      <c r="A13"/>
      <c r="B13"/>
      <c r="C13"/>
      <c r="D13"/>
      <c r="E13" s="2"/>
      <c r="F13" s="2"/>
      <c r="G13" s="2"/>
    </row>
    <row r="14" spans="1:7" s="4" customFormat="1" ht="13" x14ac:dyDescent="0.3">
      <c r="A14"/>
      <c r="B14"/>
      <c r="C14"/>
      <c r="D14"/>
      <c r="E14" s="2"/>
      <c r="F14" s="2"/>
      <c r="G14" s="2"/>
    </row>
    <row r="15" spans="1:7" s="4" customFormat="1" ht="13" x14ac:dyDescent="0.3">
      <c r="A15"/>
      <c r="B15"/>
      <c r="C15"/>
      <c r="D15"/>
      <c r="E15" s="2"/>
      <c r="F15" s="2"/>
      <c r="G15" s="2"/>
    </row>
    <row r="16" spans="1:7" s="4" customFormat="1" ht="13" x14ac:dyDescent="0.3">
      <c r="A16"/>
      <c r="B16"/>
      <c r="C16"/>
      <c r="D16"/>
      <c r="E16" s="2"/>
      <c r="F16" s="2"/>
      <c r="G16" s="2"/>
    </row>
    <row r="17" spans="1:7" s="4" customFormat="1" ht="13" x14ac:dyDescent="0.3">
      <c r="A17"/>
      <c r="B17"/>
      <c r="C17"/>
      <c r="D17"/>
      <c r="E17" s="2"/>
      <c r="F17" s="2"/>
      <c r="G17" s="2"/>
    </row>
    <row r="18" spans="1:7" s="4" customFormat="1" ht="13" x14ac:dyDescent="0.3">
      <c r="A18"/>
      <c r="B18"/>
      <c r="C18"/>
      <c r="D18"/>
      <c r="E18" s="2"/>
      <c r="F18" s="2"/>
      <c r="G18" s="2"/>
    </row>
    <row r="19" spans="1:7" s="4" customFormat="1" ht="13" x14ac:dyDescent="0.3">
      <c r="A19"/>
      <c r="B19"/>
      <c r="C19"/>
      <c r="D19"/>
      <c r="E19" s="2"/>
      <c r="F19" s="2"/>
      <c r="G19" s="2"/>
    </row>
    <row r="21" spans="1:7" s="4" customFormat="1" ht="13" x14ac:dyDescent="0.3">
      <c r="A21"/>
      <c r="B21"/>
      <c r="C21"/>
      <c r="D21"/>
      <c r="E21" s="2"/>
      <c r="F21" s="2"/>
      <c r="G21" s="2"/>
    </row>
  </sheetData>
  <mergeCells count="7">
    <mergeCell ref="A7:D7"/>
    <mergeCell ref="A8:D8"/>
    <mergeCell ref="A2:G2"/>
    <mergeCell ref="A1:G1"/>
    <mergeCell ref="A5:D5"/>
    <mergeCell ref="A6:D6"/>
    <mergeCell ref="A4:D4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>
    <oddFooter>&amp;CPág. &amp;P&amp;RData : &amp;D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9217" r:id="rId4">
          <objectPr defaultSize="0" autoPict="0" r:id="rId5">
            <anchor moveWithCells="1" sizeWithCells="1">
              <from>
                <xdr:col>0</xdr:col>
                <xdr:colOff>69850</xdr:colOff>
                <xdr:row>0</xdr:row>
                <xdr:rowOff>0</xdr:rowOff>
              </from>
              <to>
                <xdr:col>3</xdr:col>
                <xdr:colOff>31750</xdr:colOff>
                <xdr:row>0</xdr:row>
                <xdr:rowOff>0</xdr:rowOff>
              </to>
            </anchor>
          </objectPr>
        </oleObject>
      </mc:Choice>
      <mc:Fallback>
        <oleObject progId="Word.Picture.8" shapeId="921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dependências_ priorizações</vt:lpstr>
      <vt:lpstr>atores</vt:lpstr>
      <vt:lpstr>casos_de_uso</vt:lpstr>
      <vt:lpstr>fatores_tecnicos</vt:lpstr>
      <vt:lpstr>fatores_ambientais</vt:lpstr>
      <vt:lpstr>estimativa_esforço</vt:lpstr>
      <vt:lpstr>estimado_realizado</vt:lpstr>
    </vt:vector>
  </TitlesOfParts>
  <Manager>Cristina Pinelli</Manager>
  <Company>CPQD / Procwork Tecnologia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Planilhas UCP</dc:title>
  <dc:subject>Métrica Use Case Point</dc:subject>
  <dc:creator>Oziel Moreira Neto</dc:creator>
  <cp:lastModifiedBy>Alan Oliveira | ALYA</cp:lastModifiedBy>
  <cp:lastPrinted>2002-10-31T17:56:46Z</cp:lastPrinted>
  <dcterms:created xsi:type="dcterms:W3CDTF">2002-07-10T21:19:06Z</dcterms:created>
  <dcterms:modified xsi:type="dcterms:W3CDTF">2026-09-24T13:25:03Z</dcterms:modified>
</cp:coreProperties>
</file>